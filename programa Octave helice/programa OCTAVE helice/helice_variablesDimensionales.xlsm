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li\Desktop\pragrama Octave helice\programa OCTAVE helice ULTIMA VERSION\"/>
    </mc:Choice>
  </mc:AlternateContent>
  <xr:revisionPtr revIDLastSave="0" documentId="13_ncr:1_{E6D8F7E9-C7A4-4B5F-BB86-A15DEBB2C415}" xr6:coauthVersionLast="45" xr6:coauthVersionMax="45" xr10:uidLastSave="{00000000-0000-0000-0000-000000000000}"/>
  <bookViews>
    <workbookView xWindow="-120" yWindow="-120" windowWidth="24240" windowHeight="13140" xr2:uid="{95179D88-310C-4614-B9A0-652EFC0E14E6}"/>
  </bookViews>
  <sheets>
    <sheet name="actuaciones" sheetId="1" r:id="rId1"/>
    <sheet name="diseñ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6" i="2" l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5" i="2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5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5" i="1"/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G19" i="1" s="1"/>
  <c r="C20" i="1"/>
  <c r="C21" i="1"/>
  <c r="C22" i="1"/>
  <c r="C5" i="1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5" i="2"/>
  <c r="G15" i="1" l="1"/>
  <c r="G11" i="1"/>
  <c r="L9" i="1"/>
  <c r="G5" i="1"/>
  <c r="G7" i="1"/>
  <c r="G22" i="1"/>
  <c r="G18" i="1"/>
  <c r="G14" i="1"/>
  <c r="G10" i="1"/>
  <c r="G6" i="1"/>
  <c r="L20" i="1"/>
  <c r="L16" i="1"/>
  <c r="L12" i="1"/>
  <c r="L8" i="1"/>
  <c r="L17" i="1"/>
  <c r="G21" i="1"/>
  <c r="G17" i="1"/>
  <c r="G13" i="1"/>
  <c r="G9" i="1"/>
  <c r="L5" i="1"/>
  <c r="L19" i="1"/>
  <c r="L15" i="1"/>
  <c r="L11" i="1"/>
  <c r="L7" i="1"/>
  <c r="L21" i="1"/>
  <c r="L13" i="1"/>
  <c r="G20" i="1"/>
  <c r="G16" i="1"/>
  <c r="G12" i="1"/>
  <c r="G8" i="1"/>
  <c r="L22" i="1"/>
  <c r="L18" i="1"/>
  <c r="L14" i="1"/>
  <c r="L10" i="1"/>
  <c r="L6" i="1"/>
  <c r="C31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L10" i="2" l="1"/>
  <c r="G10" i="2"/>
  <c r="L22" i="2"/>
  <c r="G22" i="2"/>
  <c r="L11" i="2"/>
  <c r="G11" i="2"/>
  <c r="G19" i="2"/>
  <c r="L19" i="2"/>
  <c r="G8" i="2"/>
  <c r="L8" i="2"/>
  <c r="G12" i="2"/>
  <c r="L12" i="2"/>
  <c r="G16" i="2"/>
  <c r="L16" i="2"/>
  <c r="L20" i="2"/>
  <c r="G20" i="2"/>
  <c r="L6" i="2"/>
  <c r="G6" i="2"/>
  <c r="L14" i="2"/>
  <c r="G14" i="2"/>
  <c r="L18" i="2"/>
  <c r="G18" i="2"/>
  <c r="G7" i="2"/>
  <c r="L7" i="2"/>
  <c r="L15" i="2"/>
  <c r="G15" i="2"/>
  <c r="L5" i="2"/>
  <c r="G5" i="2"/>
  <c r="L9" i="2"/>
  <c r="G9" i="2"/>
  <c r="L13" i="2"/>
  <c r="G13" i="2"/>
  <c r="L17" i="2"/>
  <c r="G17" i="2"/>
  <c r="L21" i="2"/>
  <c r="G21" i="2"/>
  <c r="C23" i="2"/>
  <c r="C31" i="1"/>
  <c r="F9" i="2" l="1"/>
  <c r="F22" i="2"/>
  <c r="F14" i="2"/>
  <c r="F6" i="2"/>
  <c r="F7" i="2"/>
  <c r="F17" i="2"/>
  <c r="F21" i="2"/>
  <c r="F19" i="2"/>
  <c r="F18" i="2"/>
  <c r="F20" i="2"/>
  <c r="F16" i="2"/>
  <c r="F12" i="2"/>
  <c r="F5" i="2"/>
  <c r="F13" i="2"/>
  <c r="J22" i="2" l="1"/>
  <c r="D22" i="2" s="1"/>
  <c r="J21" i="2"/>
  <c r="D21" i="2" s="1"/>
  <c r="J18" i="2"/>
  <c r="D18" i="2" s="1"/>
  <c r="J17" i="2"/>
  <c r="D17" i="2" s="1"/>
  <c r="J16" i="2"/>
  <c r="D16" i="2" s="1"/>
  <c r="J15" i="2"/>
  <c r="D15" i="2" s="1"/>
  <c r="F15" i="2"/>
  <c r="J13" i="2"/>
  <c r="D13" i="2" s="1"/>
  <c r="J11" i="2"/>
  <c r="D11" i="2" s="1"/>
  <c r="F11" i="2"/>
  <c r="J10" i="2"/>
  <c r="D10" i="2" s="1"/>
  <c r="F10" i="2"/>
  <c r="J9" i="2"/>
  <c r="D9" i="2" s="1"/>
  <c r="J8" i="2"/>
  <c r="D8" i="2" s="1"/>
  <c r="F8" i="2"/>
  <c r="J7" i="2"/>
  <c r="D7" i="2" s="1"/>
  <c r="J6" i="2"/>
  <c r="D6" i="2" s="1"/>
  <c r="J5" i="2"/>
  <c r="D5" i="2" s="1"/>
  <c r="J19" i="2"/>
  <c r="D19" i="2" s="1"/>
  <c r="J20" i="2"/>
  <c r="D20" i="2" s="1"/>
  <c r="J12" i="2"/>
  <c r="D12" i="2" s="1"/>
  <c r="J14" i="2"/>
  <c r="D14" i="2" s="1"/>
  <c r="C23" i="1"/>
  <c r="S7" i="2" l="1"/>
  <c r="R7" i="2"/>
  <c r="R17" i="2"/>
  <c r="S17" i="2"/>
  <c r="R19" i="2"/>
  <c r="S19" i="2"/>
  <c r="S10" i="2"/>
  <c r="R10" i="2"/>
  <c r="R18" i="2"/>
  <c r="S18" i="2"/>
  <c r="S14" i="2"/>
  <c r="R14" i="2"/>
  <c r="R5" i="2"/>
  <c r="S5" i="2"/>
  <c r="S8" i="2"/>
  <c r="R8" i="2"/>
  <c r="R15" i="2"/>
  <c r="S15" i="2"/>
  <c r="S21" i="2"/>
  <c r="R21" i="2"/>
  <c r="S20" i="2"/>
  <c r="R20" i="2"/>
  <c r="S13" i="2"/>
  <c r="R13" i="2"/>
  <c r="S12" i="2"/>
  <c r="R12" i="2"/>
  <c r="S6" i="2"/>
  <c r="R6" i="2"/>
  <c r="S9" i="2"/>
  <c r="R9" i="2"/>
  <c r="R11" i="2"/>
  <c r="S11" i="2"/>
  <c r="R16" i="2"/>
  <c r="S16" i="2"/>
  <c r="S22" i="2"/>
  <c r="R22" i="2"/>
  <c r="J15" i="1"/>
  <c r="J7" i="1"/>
  <c r="J11" i="1"/>
  <c r="I19" i="1"/>
  <c r="J19" i="1"/>
  <c r="I7" i="1"/>
  <c r="I15" i="1"/>
  <c r="I11" i="1"/>
  <c r="J12" i="1"/>
  <c r="J18" i="1"/>
  <c r="J16" i="1"/>
  <c r="J13" i="1"/>
  <c r="J6" i="1"/>
  <c r="J22" i="1"/>
  <c r="J8" i="1"/>
  <c r="J14" i="1"/>
  <c r="J9" i="1"/>
  <c r="J17" i="1"/>
  <c r="J10" i="1"/>
  <c r="P15" i="1" l="1"/>
  <c r="O15" i="1"/>
  <c r="U15" i="1" s="1"/>
  <c r="P19" i="1"/>
  <c r="O19" i="1"/>
  <c r="U19" i="1" s="1"/>
  <c r="P11" i="1"/>
  <c r="O11" i="1"/>
  <c r="U11" i="1" s="1"/>
  <c r="P7" i="1"/>
  <c r="O7" i="1"/>
  <c r="U7" i="1" s="1"/>
  <c r="F27" i="2"/>
  <c r="F28" i="2" s="1"/>
  <c r="F26" i="2"/>
  <c r="F29" i="2" s="1"/>
  <c r="I21" i="1"/>
  <c r="J21" i="1"/>
  <c r="I20" i="1"/>
  <c r="J20" i="1"/>
  <c r="I5" i="1"/>
  <c r="J5" i="1"/>
  <c r="I14" i="1"/>
  <c r="I22" i="1"/>
  <c r="I13" i="1"/>
  <c r="I18" i="1"/>
  <c r="I12" i="1"/>
  <c r="I6" i="1"/>
  <c r="I10" i="1"/>
  <c r="I17" i="1"/>
  <c r="I8" i="1"/>
  <c r="I16" i="1"/>
  <c r="I9" i="1"/>
  <c r="Q19" i="1" l="1"/>
  <c r="Q7" i="1"/>
  <c r="F31" i="2"/>
  <c r="R11" i="1"/>
  <c r="Q11" i="1"/>
  <c r="R15" i="1"/>
  <c r="R7" i="1"/>
  <c r="Q15" i="1"/>
  <c r="R19" i="1"/>
  <c r="P18" i="1"/>
  <c r="O18" i="1"/>
  <c r="U18" i="1" s="1"/>
  <c r="O21" i="1"/>
  <c r="P21" i="1"/>
  <c r="O9" i="1"/>
  <c r="P9" i="1"/>
  <c r="P10" i="1"/>
  <c r="O10" i="1"/>
  <c r="O13" i="1"/>
  <c r="P13" i="1"/>
  <c r="O17" i="1"/>
  <c r="P17" i="1"/>
  <c r="P6" i="1"/>
  <c r="O6" i="1"/>
  <c r="P20" i="1"/>
  <c r="O20" i="1"/>
  <c r="O16" i="1"/>
  <c r="P16" i="1"/>
  <c r="P22" i="1"/>
  <c r="O22" i="1"/>
  <c r="O8" i="1"/>
  <c r="U8" i="1" s="1"/>
  <c r="P8" i="1"/>
  <c r="O12" i="1"/>
  <c r="P12" i="1"/>
  <c r="P14" i="1"/>
  <c r="O14" i="1"/>
  <c r="P5" i="1"/>
  <c r="O5" i="1"/>
  <c r="F30" i="2"/>
  <c r="U17" i="1" l="1"/>
  <c r="U9" i="1"/>
  <c r="U20" i="1"/>
  <c r="U22" i="1"/>
  <c r="U21" i="1"/>
  <c r="U16" i="1"/>
  <c r="U14" i="1"/>
  <c r="U13" i="1"/>
  <c r="U12" i="1"/>
  <c r="U10" i="1"/>
  <c r="U6" i="1"/>
  <c r="U5" i="1"/>
  <c r="Q16" i="1"/>
  <c r="R16" i="1"/>
  <c r="R5" i="1"/>
  <c r="Q5" i="1"/>
  <c r="R22" i="1"/>
  <c r="Q22" i="1"/>
  <c r="Q20" i="1"/>
  <c r="R20" i="1"/>
  <c r="Q10" i="1"/>
  <c r="R10" i="1"/>
  <c r="Q8" i="1"/>
  <c r="R8" i="1"/>
  <c r="Q13" i="1"/>
  <c r="R13" i="1"/>
  <c r="R9" i="1"/>
  <c r="Q9" i="1"/>
  <c r="Q12" i="1"/>
  <c r="R12" i="1"/>
  <c r="R17" i="1"/>
  <c r="Q17" i="1"/>
  <c r="R21" i="1"/>
  <c r="Q21" i="1"/>
  <c r="Q14" i="1"/>
  <c r="R14" i="1"/>
  <c r="Q6" i="1"/>
  <c r="R6" i="1"/>
  <c r="R18" i="1"/>
  <c r="Q18" i="1"/>
  <c r="F27" i="1" l="1"/>
  <c r="F28" i="1" s="1"/>
  <c r="F26" i="1"/>
  <c r="F29" i="1" s="1"/>
  <c r="F31" i="1" l="1"/>
  <c r="F30" i="1"/>
</calcChain>
</file>

<file path=xl/sharedStrings.xml><?xml version="1.0" encoding="utf-8"?>
<sst xmlns="http://schemas.openxmlformats.org/spreadsheetml/2006/main" count="74" uniqueCount="30">
  <si>
    <t>x</t>
  </si>
  <si>
    <t>beta(º)</t>
  </si>
  <si>
    <t>phi(º)</t>
  </si>
  <si>
    <t>theta(º)</t>
  </si>
  <si>
    <t>alfa0(º)</t>
  </si>
  <si>
    <t>phi0(º)</t>
  </si>
  <si>
    <t>CL</t>
  </si>
  <si>
    <t>CD</t>
  </si>
  <si>
    <t>vi(m/s)</t>
  </si>
  <si>
    <t>residuo</t>
  </si>
  <si>
    <t>t(N/m)</t>
  </si>
  <si>
    <t>q(N)</t>
  </si>
  <si>
    <t>VR(m/s)</t>
  </si>
  <si>
    <t>VR0(m/s)</t>
  </si>
  <si>
    <t>r(m)</t>
  </si>
  <si>
    <t>c(m)</t>
  </si>
  <si>
    <t>v(m/s)</t>
  </si>
  <si>
    <t>h(m)</t>
  </si>
  <si>
    <t>ρ(kg/m^3)</t>
  </si>
  <si>
    <t>radio(m)</t>
  </si>
  <si>
    <t>palas</t>
  </si>
  <si>
    <t>Ω(rad/s)</t>
  </si>
  <si>
    <t>T(N)</t>
  </si>
  <si>
    <t>Q(N.m)</t>
  </si>
  <si>
    <t>P(W)</t>
  </si>
  <si>
    <t>Pu(W)</t>
  </si>
  <si>
    <t>P/T(W/N)</t>
  </si>
  <si>
    <t>rp</t>
  </si>
  <si>
    <t>i</t>
  </si>
  <si>
    <t>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</si>
</sst>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vi -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actuaciones!$T$5:$T$22</c:f>
              <c:numCache>
                <c:formatCode>General</c:formatCode>
                <c:ptCount val="18"/>
                <c:pt idx="0">
                  <c:v>9.1426141383452109</c:v>
                </c:pt>
                <c:pt idx="1">
                  <c:v>9.6711356399751391</c:v>
                </c:pt>
                <c:pt idx="2">
                  <c:v>9.995259921730888</c:v>
                </c:pt>
                <c:pt idx="3">
                  <c:v>10.218246445629278</c:v>
                </c:pt>
                <c:pt idx="4">
                  <c:v>10.379554089814448</c:v>
                </c:pt>
                <c:pt idx="5">
                  <c:v>10.498856352742965</c:v>
                </c:pt>
                <c:pt idx="6">
                  <c:v>10.588621008977912</c:v>
                </c:pt>
                <c:pt idx="7">
                  <c:v>10.657669619595179</c:v>
                </c:pt>
                <c:pt idx="8">
                  <c:v>10.712317553888894</c:v>
                </c:pt>
                <c:pt idx="9">
                  <c:v>10.756954192613708</c:v>
                </c:pt>
                <c:pt idx="10">
                  <c:v>10.794466818386738</c:v>
                </c:pt>
                <c:pt idx="11">
                  <c:v>10.826560532540361</c:v>
                </c:pt>
                <c:pt idx="12">
                  <c:v>10.854019940835059</c:v>
                </c:pt>
                <c:pt idx="13">
                  <c:v>10.877001705000444</c:v>
                </c:pt>
                <c:pt idx="14">
                  <c:v>10.895467139994386</c:v>
                </c:pt>
                <c:pt idx="15">
                  <c:v>10.909899958272915</c:v>
                </c:pt>
                <c:pt idx="16">
                  <c:v>10.92253921718582</c:v>
                </c:pt>
                <c:pt idx="17">
                  <c:v>10.939356510631676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3F-4BB1-BDE9-891C17770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35344"/>
        <c:axId val="2119768896"/>
      </c:scatterChart>
      <c:valAx>
        <c:axId val="20143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9768896"/>
        <c:crosses val="autoZero"/>
        <c:crossBetween val="midCat"/>
      </c:valAx>
      <c:valAx>
        <c:axId val="21197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vi(m/s)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43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angulos</a:t>
            </a:r>
            <a:r>
              <a:rPr lang="es-ES" baseline="0"/>
              <a:t> - r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beta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actuaciones!$F$5:$F$22</c:f>
              <c:numCache>
                <c:formatCode>General</c:formatCode>
                <c:ptCount val="18"/>
                <c:pt idx="0">
                  <c:v>86.778270193392075</c:v>
                </c:pt>
                <c:pt idx="1">
                  <c:v>79.988795557311093</c:v>
                </c:pt>
                <c:pt idx="2">
                  <c:v>73.864895445264438</c:v>
                </c:pt>
                <c:pt idx="3">
                  <c:v>68.399834154565795</c:v>
                </c:pt>
                <c:pt idx="4">
                  <c:v>63.561235751583304</c:v>
                </c:pt>
                <c:pt idx="5">
                  <c:v>59.299558725216322</c:v>
                </c:pt>
                <c:pt idx="6">
                  <c:v>55.555370346439382</c:v>
                </c:pt>
                <c:pt idx="7">
                  <c:v>52.265420733913317</c:v>
                </c:pt>
                <c:pt idx="8">
                  <c:v>49.367516625663995</c:v>
                </c:pt>
                <c:pt idx="9">
                  <c:v>46.804194856828161</c:v>
                </c:pt>
                <c:pt idx="10">
                  <c:v>44.52519554346658</c:v>
                </c:pt>
                <c:pt idx="11">
                  <c:v>42.488734972444874</c:v>
                </c:pt>
                <c:pt idx="12">
                  <c:v>40.661578197381068</c:v>
                </c:pt>
                <c:pt idx="13">
                  <c:v>39.017911340661058</c:v>
                </c:pt>
                <c:pt idx="14">
                  <c:v>37.537013601520933</c:v>
                </c:pt>
                <c:pt idx="15">
                  <c:v>36.199728970197043</c:v>
                </c:pt>
                <c:pt idx="16">
                  <c:v>34.98373764814302</c:v>
                </c:pt>
                <c:pt idx="17">
                  <c:v>33.857627174314253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20-4B04-BD43-CBCD274EEF77}"/>
            </c:ext>
          </c:extLst>
        </c:ser>
        <c:ser>
          <c:idx val="1"/>
          <c:order val="1"/>
          <c:tx>
            <c:v>phi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actuaciones!$C$5:$C$22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actuaciones!$G$5:$G$22</c:f>
              <c:numCache>
                <c:formatCode>General</c:formatCode>
                <c:ptCount val="18"/>
                <c:pt idx="0">
                  <c:v>67.846655262222001</c:v>
                </c:pt>
                <c:pt idx="1">
                  <c:v>61.504361381755018</c:v>
                </c:pt>
                <c:pt idx="2">
                  <c:v>55.840305454330569</c:v>
                </c:pt>
                <c:pt idx="3">
                  <c:v>50.84456587738687</c:v>
                </c:pt>
                <c:pt idx="4">
                  <c:v>46.468800714385829</c:v>
                </c:pt>
                <c:pt idx="5">
                  <c:v>42.646703133891691</c:v>
                </c:pt>
                <c:pt idx="6">
                  <c:v>39.307648116106613</c:v>
                </c:pt>
                <c:pt idx="7">
                  <c:v>36.384351815835885</c:v>
                </c:pt>
                <c:pt idx="8">
                  <c:v>33.816408621127479</c:v>
                </c:pt>
                <c:pt idx="9">
                  <c:v>31.55138494831348</c:v>
                </c:pt>
                <c:pt idx="10">
                  <c:v>29.544634739569723</c:v>
                </c:pt>
                <c:pt idx="11">
                  <c:v>27.75854060106003</c:v>
                </c:pt>
                <c:pt idx="12">
                  <c:v>26.161566442019236</c:v>
                </c:pt>
                <c:pt idx="13">
                  <c:v>24.727314386690136</c:v>
                </c:pt>
                <c:pt idx="14">
                  <c:v>23.433670721809602</c:v>
                </c:pt>
                <c:pt idx="15">
                  <c:v>22.262069144125611</c:v>
                </c:pt>
                <c:pt idx="16">
                  <c:v>21.196872137322273</c:v>
                </c:pt>
                <c:pt idx="17">
                  <c:v>20.224859431168078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20-4B04-BD43-CBCD274EEF77}"/>
            </c:ext>
          </c:extLst>
        </c:ser>
        <c:ser>
          <c:idx val="2"/>
          <c:order val="2"/>
          <c:tx>
            <c:v>theta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actuaciones!$C$5:$C$22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actuaciones!$H$5:$H$22</c:f>
              <c:numCache>
                <c:formatCode>General</c:formatCode>
                <c:ptCount val="18"/>
                <c:pt idx="0">
                  <c:v>6.8973837340727577</c:v>
                </c:pt>
                <c:pt idx="1">
                  <c:v>6.9230542730056825</c:v>
                </c:pt>
                <c:pt idx="2">
                  <c:v>6.7385289399017454</c:v>
                </c:pt>
                <c:pt idx="3">
                  <c:v>6.4580619006578646</c:v>
                </c:pt>
                <c:pt idx="4">
                  <c:v>6.1358715739192577</c:v>
                </c:pt>
                <c:pt idx="5">
                  <c:v>5.8019280943743095</c:v>
                </c:pt>
                <c:pt idx="6">
                  <c:v>5.4736337626301621</c:v>
                </c:pt>
                <c:pt idx="7">
                  <c:v>5.1607235264587379</c:v>
                </c:pt>
                <c:pt idx="8">
                  <c:v>4.8680229797393348</c:v>
                </c:pt>
                <c:pt idx="9">
                  <c:v>4.5972757820876033</c:v>
                </c:pt>
                <c:pt idx="10">
                  <c:v>4.3483762505210564</c:v>
                </c:pt>
                <c:pt idx="11">
                  <c:v>4.1201700095497245</c:v>
                </c:pt>
                <c:pt idx="12">
                  <c:v>3.9109646271288407</c:v>
                </c:pt>
                <c:pt idx="13">
                  <c:v>3.7188727642830468</c:v>
                </c:pt>
                <c:pt idx="14">
                  <c:v>3.5420790585369555</c:v>
                </c:pt>
                <c:pt idx="15">
                  <c:v>3.3791023659087474</c:v>
                </c:pt>
                <c:pt idx="16">
                  <c:v>3.2291249103241135</c:v>
                </c:pt>
                <c:pt idx="17">
                  <c:v>3.0924342780525529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20-4B04-BD43-CBCD274EEF77}"/>
            </c:ext>
          </c:extLst>
        </c:ser>
        <c:ser>
          <c:idx val="3"/>
          <c:order val="3"/>
          <c:tx>
            <c:v>alfa0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actuaciones!$C$5:$C$22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actuaciones!$I$5:$I$22</c:f>
              <c:numCache>
                <c:formatCode>General</c:formatCode>
                <c:ptCount val="18"/>
                <c:pt idx="0">
                  <c:v>12.034231197097316</c:v>
                </c:pt>
                <c:pt idx="1">
                  <c:v>11.561379902550392</c:v>
                </c:pt>
                <c:pt idx="2">
                  <c:v>11.286061051032124</c:v>
                </c:pt>
                <c:pt idx="3">
                  <c:v>11.097206376521061</c:v>
                </c:pt>
                <c:pt idx="4">
                  <c:v>10.956563463278219</c:v>
                </c:pt>
                <c:pt idx="5">
                  <c:v>10.850927496950321</c:v>
                </c:pt>
                <c:pt idx="6">
                  <c:v>10.774088467702608</c:v>
                </c:pt>
                <c:pt idx="7">
                  <c:v>10.720345391618693</c:v>
                </c:pt>
                <c:pt idx="8">
                  <c:v>10.683085024797181</c:v>
                </c:pt>
                <c:pt idx="9">
                  <c:v>10.655534126427078</c:v>
                </c:pt>
                <c:pt idx="10">
                  <c:v>10.632184553375801</c:v>
                </c:pt>
                <c:pt idx="11">
                  <c:v>10.610024361835119</c:v>
                </c:pt>
                <c:pt idx="12">
                  <c:v>10.589047128232991</c:v>
                </c:pt>
                <c:pt idx="13">
                  <c:v>10.571724189687876</c:v>
                </c:pt>
                <c:pt idx="14">
                  <c:v>10.561263821174375</c:v>
                </c:pt>
                <c:pt idx="15">
                  <c:v>10.558557460162685</c:v>
                </c:pt>
                <c:pt idx="16">
                  <c:v>10.557740600496633</c:v>
                </c:pt>
                <c:pt idx="17">
                  <c:v>10.540333465093623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20-4B04-BD43-CBCD274EE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361760"/>
        <c:axId val="2114151824"/>
      </c:scatterChart>
      <c:valAx>
        <c:axId val="211836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4151824"/>
        <c:crosses val="autoZero"/>
        <c:crossBetween val="midCat"/>
      </c:valAx>
      <c:valAx>
        <c:axId val="211415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angulos(º)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8361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 -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actuaciones!$Q$5:$Q$22</c:f>
              <c:numCache>
                <c:formatCode>General</c:formatCode>
                <c:ptCount val="18"/>
                <c:pt idx="0">
                  <c:v>182.5081676091522</c:v>
                </c:pt>
                <c:pt idx="1">
                  <c:v>330.8506204048465</c:v>
                </c:pt>
                <c:pt idx="2">
                  <c:v>509.77641889868386</c:v>
                </c:pt>
                <c:pt idx="3">
                  <c:v>711.06877085192923</c:v>
                </c:pt>
                <c:pt idx="4">
                  <c:v>927.55538941585189</c:v>
                </c:pt>
                <c:pt idx="5">
                  <c:v>1153.6111148462869</c:v>
                </c:pt>
                <c:pt idx="6">
                  <c:v>1385.2421380904664</c:v>
                </c:pt>
                <c:pt idx="7">
                  <c:v>1619.8411472437165</c:v>
                </c:pt>
                <c:pt idx="8">
                  <c:v>1855.8169335994382</c:v>
                </c:pt>
                <c:pt idx="9">
                  <c:v>2092.2442690586199</c:v>
                </c:pt>
                <c:pt idx="10">
                  <c:v>2328.5867033234181</c:v>
                </c:pt>
                <c:pt idx="11">
                  <c:v>2564.4903091443994</c:v>
                </c:pt>
                <c:pt idx="12">
                  <c:v>2799.6400764272457</c:v>
                </c:pt>
                <c:pt idx="13">
                  <c:v>3033.6893247927292</c:v>
                </c:pt>
                <c:pt idx="14">
                  <c:v>3266.2966849970326</c:v>
                </c:pt>
                <c:pt idx="15">
                  <c:v>3497.3402296956715</c:v>
                </c:pt>
                <c:pt idx="16">
                  <c:v>3727.4394491415378</c:v>
                </c:pt>
                <c:pt idx="17">
                  <c:v>3958.9588448322334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5D-4204-AE48-211FFFE1C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300272"/>
        <c:axId val="1724674768"/>
      </c:scatterChart>
      <c:valAx>
        <c:axId val="197830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4674768"/>
        <c:crosses val="autoZero"/>
        <c:crossBetween val="midCat"/>
      </c:valAx>
      <c:valAx>
        <c:axId val="172467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t(N/m)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7830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q</a:t>
            </a:r>
            <a:r>
              <a:rPr lang="es-ES" baseline="0"/>
              <a:t> - r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actuaciones!$R$5:$R$22</c:f>
              <c:numCache>
                <c:formatCode>General</c:formatCode>
                <c:ptCount val="18"/>
                <c:pt idx="0">
                  <c:v>40.97135316651719</c:v>
                </c:pt>
                <c:pt idx="1">
                  <c:v>67.008976768035453</c:v>
                </c:pt>
                <c:pt idx="2">
                  <c:v>97.47813210346942</c:v>
                </c:pt>
                <c:pt idx="3">
                  <c:v>131.26927740352275</c:v>
                </c:pt>
                <c:pt idx="4">
                  <c:v>167.35907070172954</c:v>
                </c:pt>
                <c:pt idx="5">
                  <c:v>204.93484635492516</c:v>
                </c:pt>
                <c:pt idx="6">
                  <c:v>243.42420659488465</c:v>
                </c:pt>
                <c:pt idx="7">
                  <c:v>282.46118685213224</c:v>
                </c:pt>
                <c:pt idx="8">
                  <c:v>321.8292334888082</c:v>
                </c:pt>
                <c:pt idx="9">
                  <c:v>361.40698319363526</c:v>
                </c:pt>
                <c:pt idx="10">
                  <c:v>401.12551412267754</c:v>
                </c:pt>
                <c:pt idx="11">
                  <c:v>440.93643305162828</c:v>
                </c:pt>
                <c:pt idx="12">
                  <c:v>480.78963517589597</c:v>
                </c:pt>
                <c:pt idx="13">
                  <c:v>520.62332203944072</c:v>
                </c:pt>
                <c:pt idx="14">
                  <c:v>560.37345724943577</c:v>
                </c:pt>
                <c:pt idx="15">
                  <c:v>600.01649693006607</c:v>
                </c:pt>
                <c:pt idx="16">
                  <c:v>639.6708795247539</c:v>
                </c:pt>
                <c:pt idx="17">
                  <c:v>679.79110935112863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1-4E87-97AA-CB218E2D3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140320"/>
        <c:axId val="192133520"/>
      </c:scatterChart>
      <c:valAx>
        <c:axId val="211314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33520"/>
        <c:crosses val="autoZero"/>
        <c:crossBetween val="midCat"/>
      </c:valAx>
      <c:valAx>
        <c:axId val="19213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q(N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3140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residuo -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actuaciones!$U$5:$U$22</c:f>
              <c:numCache>
                <c:formatCode>General</c:formatCode>
                <c:ptCount val="18"/>
                <c:pt idx="0">
                  <c:v>-1.3855189990863437E-6</c:v>
                </c:pt>
                <c:pt idx="1">
                  <c:v>-2.2933951413506293E-6</c:v>
                </c:pt>
                <c:pt idx="2">
                  <c:v>-4.792938170794514E-7</c:v>
                </c:pt>
                <c:pt idx="3">
                  <c:v>-3.5502125683706254E-9</c:v>
                </c:pt>
                <c:pt idx="4">
                  <c:v>-2.5044528229045682E-8</c:v>
                </c:pt>
                <c:pt idx="5">
                  <c:v>-1.141191205533687E-6</c:v>
                </c:pt>
                <c:pt idx="6">
                  <c:v>-7.1306990321318153E-6</c:v>
                </c:pt>
                <c:pt idx="7">
                  <c:v>-2.2943718249734957E-5</c:v>
                </c:pt>
                <c:pt idx="8">
                  <c:v>-5.2775762014789507E-5</c:v>
                </c:pt>
                <c:pt idx="9">
                  <c:v>-9.9327621683187317E-5</c:v>
                </c:pt>
                <c:pt idx="10">
                  <c:v>-1.6387030700570904E-4</c:v>
                </c:pt>
                <c:pt idx="11">
                  <c:v>-2.4655599099787651E-4</c:v>
                </c:pt>
                <c:pt idx="12">
                  <c:v>-3.4664953000174137E-4</c:v>
                </c:pt>
                <c:pt idx="13">
                  <c:v>-4.6261444822448539E-4</c:v>
                </c:pt>
                <c:pt idx="14">
                  <c:v>-5.9223252264928306E-4</c:v>
                </c:pt>
                <c:pt idx="15">
                  <c:v>-7.332323975788313E-4</c:v>
                </c:pt>
                <c:pt idx="16">
                  <c:v>-8.8536342991574202E-4</c:v>
                </c:pt>
                <c:pt idx="17">
                  <c:v>1.2728378351312131E-8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5-4F86-9B3C-BF4C5449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278672"/>
        <c:axId val="2114168464"/>
      </c:scatterChart>
      <c:valAx>
        <c:axId val="197827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4168464"/>
        <c:crosses val="autoZero"/>
        <c:crossBetween val="midCat"/>
      </c:valAx>
      <c:valAx>
        <c:axId val="21141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residuo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7827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</a:t>
            </a:r>
            <a:r>
              <a:rPr lang="es-ES" baseline="0"/>
              <a:t> - v  ; Omega = cte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actuaciones!$AD$7:$AD$19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actuaciones!$AE$7:$AE$19</c:f>
              <c:numCache>
                <c:formatCode>General</c:formatCode>
                <c:ptCount val="13"/>
                <c:pt idx="0">
                  <c:v>292.77208935818504</c:v>
                </c:pt>
                <c:pt idx="1">
                  <c:v>265.59847249634072</c:v>
                </c:pt>
                <c:pt idx="2">
                  <c:v>236.8925670384688</c:v>
                </c:pt>
                <c:pt idx="3">
                  <c:v>206.72809821548867</c:v>
                </c:pt>
                <c:pt idx="4">
                  <c:v>175.17187585164459</c:v>
                </c:pt>
                <c:pt idx="5">
                  <c:v>142.28179603804071</c:v>
                </c:pt>
                <c:pt idx="6">
                  <c:v>108.10614850181402</c:v>
                </c:pt>
                <c:pt idx="7">
                  <c:v>72.684207202238539</c:v>
                </c:pt>
                <c:pt idx="8">
                  <c:v>36.047187501152919</c:v>
                </c:pt>
                <c:pt idx="9">
                  <c:v>-1.7804316438511483</c:v>
                </c:pt>
                <c:pt idx="10">
                  <c:v>-40.779662395445122</c:v>
                </c:pt>
                <c:pt idx="11">
                  <c:v>-80.935901290550646</c:v>
                </c:pt>
                <c:pt idx="12">
                  <c:v>-122.23791465888782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82-4F5D-BEAF-B68474999CF1}"/>
            </c:ext>
          </c:extLst>
        </c:ser>
        <c:ser>
          <c:idx val="1"/>
          <c:order val="1"/>
          <c:tx>
            <c:v>350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actuaciones!$AD$7:$AD$19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actuaciones!$AF$7:$AF$19</c:f>
              <c:numCache>
                <c:formatCode>General</c:formatCode>
                <c:ptCount val="13"/>
                <c:pt idx="0">
                  <c:v>428.45920106168057</c:v>
                </c:pt>
                <c:pt idx="1">
                  <c:v>398.49534238118434</c:v>
                </c:pt>
                <c:pt idx="2">
                  <c:v>366.9228797192672</c:v>
                </c:pt>
                <c:pt idx="3">
                  <c:v>333.80734568613292</c:v>
                </c:pt>
                <c:pt idx="4">
                  <c:v>299.21285147938949</c:v>
                </c:pt>
                <c:pt idx="5">
                  <c:v>263.19918119971538</c:v>
                </c:pt>
                <c:pt idx="6">
                  <c:v>225.81995170820335</c:v>
                </c:pt>
                <c:pt idx="7">
                  <c:v>187.12181607901084</c:v>
                </c:pt>
                <c:pt idx="8">
                  <c:v>147.14448224550662</c:v>
                </c:pt>
                <c:pt idx="9">
                  <c:v>105.92102521646785</c:v>
                </c:pt>
                <c:pt idx="10">
                  <c:v>63.478617241704548</c:v>
                </c:pt>
                <c:pt idx="11">
                  <c:v>19.83938039215392</c:v>
                </c:pt>
                <c:pt idx="12">
                  <c:v>-24.978926100397917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82-4F5D-BEAF-B68474999CF1}"/>
            </c:ext>
          </c:extLst>
        </c:ser>
        <c:ser>
          <c:idx val="2"/>
          <c:order val="2"/>
          <c:tx>
            <c:v>400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actuaciones!$AD$7:$AD$19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actuaciones!$AG$7:$AG$19</c:f>
              <c:numCache>
                <c:formatCode>General</c:formatCode>
                <c:ptCount val="13"/>
                <c:pt idx="0">
                  <c:v>587.54419773926463</c:v>
                </c:pt>
                <c:pt idx="1">
                  <c:v>554.84588720538579</c:v>
                </c:pt>
                <c:pt idx="2">
                  <c:v>520.48370259682702</c:v>
                </c:pt>
                <c:pt idx="3">
                  <c:v>484.51287329030185</c:v>
                </c:pt>
                <c:pt idx="4">
                  <c:v>446.99079920041561</c:v>
                </c:pt>
                <c:pt idx="5">
                  <c:v>407.97411332239687</c:v>
                </c:pt>
                <c:pt idx="6">
                  <c:v>367.51660737106857</c:v>
                </c:pt>
                <c:pt idx="7">
                  <c:v>325.66770272288602</c:v>
                </c:pt>
                <c:pt idx="8">
                  <c:v>282.47170499855605</c:v>
                </c:pt>
                <c:pt idx="9">
                  <c:v>237.96750896995692</c:v>
                </c:pt>
                <c:pt idx="10">
                  <c:v>192.18871781053178</c:v>
                </c:pt>
                <c:pt idx="11">
                  <c:v>145.16391894202818</c:v>
                </c:pt>
                <c:pt idx="12">
                  <c:v>96.917174800228224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82-4F5D-BEAF-B68474999CF1}"/>
            </c:ext>
          </c:extLst>
        </c:ser>
        <c:ser>
          <c:idx val="3"/>
          <c:order val="3"/>
          <c:tx>
            <c:v>450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actuaciones!$AD$7:$AD$19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actuaciones!$AH$7:$AH$19</c:f>
              <c:numCache>
                <c:formatCode>General</c:formatCode>
                <c:ptCount val="13"/>
                <c:pt idx="0">
                  <c:v>769.99849672559651</c:v>
                </c:pt>
                <c:pt idx="1">
                  <c:v>734.59957509746982</c:v>
                </c:pt>
                <c:pt idx="2">
                  <c:v>697.49740930918597</c:v>
                </c:pt>
                <c:pt idx="3">
                  <c:v>658.73718929649465</c:v>
                </c:pt>
                <c:pt idx="4">
                  <c:v>618.36828341913349</c:v>
                </c:pt>
                <c:pt idx="5">
                  <c:v>576.44176061189046</c:v>
                </c:pt>
                <c:pt idx="6">
                  <c:v>533.00827397348303</c:v>
                </c:pt>
                <c:pt idx="7">
                  <c:v>488.11653923174447</c:v>
                </c:pt>
                <c:pt idx="8">
                  <c:v>441.81211097539693</c:v>
                </c:pt>
                <c:pt idx="9">
                  <c:v>394.1367306919517</c:v>
                </c:pt>
                <c:pt idx="10">
                  <c:v>345.12792749202339</c:v>
                </c:pt>
                <c:pt idx="11">
                  <c:v>294.81893684024408</c:v>
                </c:pt>
                <c:pt idx="12">
                  <c:v>243.23884685595218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82-4F5D-BEAF-B68474999CF1}"/>
            </c:ext>
          </c:extLst>
        </c:ser>
        <c:ser>
          <c:idx val="4"/>
          <c:order val="4"/>
          <c:tx>
            <c:v>500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actuaciones!$AD$7:$AD$19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actuaciones!$AI$7:$AI$19</c:f>
              <c:numCache>
                <c:formatCode>General</c:formatCode>
                <c:ptCount val="13"/>
                <c:pt idx="0">
                  <c:v>975.80738539298716</c:v>
                </c:pt>
                <c:pt idx="1">
                  <c:v>937.7285184119188</c:v>
                </c:pt>
                <c:pt idx="2">
                  <c:v>897.91856324731725</c:v>
                </c:pt>
                <c:pt idx="3">
                  <c:v>856.41383023658227</c:v>
                </c:pt>
                <c:pt idx="4">
                  <c:v>813.25579028346283</c:v>
                </c:pt>
                <c:pt idx="5">
                  <c:v>768.48904078710427</c:v>
                </c:pt>
                <c:pt idx="6">
                  <c:v>722.15952884491912</c:v>
                </c:pt>
                <c:pt idx="7">
                  <c:v>674.31309083977374</c:v>
                </c:pt>
                <c:pt idx="8">
                  <c:v>624.99410813978284</c:v>
                </c:pt>
                <c:pt idx="9">
                  <c:v>574.24469674548641</c:v>
                </c:pt>
                <c:pt idx="10">
                  <c:v>522.10404309406999</c:v>
                </c:pt>
                <c:pt idx="11">
                  <c:v>468.60802853604451</c:v>
                </c:pt>
                <c:pt idx="12">
                  <c:v>413.78907746324143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82-4F5D-BEAF-B68474999CF1}"/>
            </c:ext>
          </c:extLst>
        </c:ser>
        <c:ser>
          <c:idx val="5"/>
          <c:order val="5"/>
          <c:tx>
            <c:v>550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actuaciones!$AD$7:$AD$19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actuaciones!$AJ$7:$AJ$19</c:f>
              <c:numCache>
                <c:formatCode>General</c:formatCode>
                <c:ptCount val="13"/>
                <c:pt idx="0">
                  <c:v>1204.9631054620438</c:v>
                </c:pt>
                <c:pt idx="1">
                  <c:v>1164.2170311620462</c:v>
                </c:pt>
                <c:pt idx="2">
                  <c:v>1121.7202392685863</c:v>
                </c:pt>
                <c:pt idx="3">
                  <c:v>1077.5015507040353</c:v>
                </c:pt>
                <c:pt idx="4">
                  <c:v>1031.5952246960262</c:v>
                </c:pt>
                <c:pt idx="5">
                  <c:v>984.03949997415748</c:v>
                </c:pt>
                <c:pt idx="6">
                  <c:v>934.87504779269898</c:v>
                </c:pt>
                <c:pt idx="7">
                  <c:v>884.14366837411808</c:v>
                </c:pt>
                <c:pt idx="8">
                  <c:v>831.8870806826335</c:v>
                </c:pt>
                <c:pt idx="9">
                  <c:v>778.14609807701436</c:v>
                </c:pt>
                <c:pt idx="10">
                  <c:v>722.95970675880437</c:v>
                </c:pt>
                <c:pt idx="11">
                  <c:v>666.36470287560428</c:v>
                </c:pt>
                <c:pt idx="12">
                  <c:v>608.3952420600574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82-4F5D-BEAF-B68474999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180368"/>
        <c:axId val="2114176368"/>
      </c:scatterChart>
      <c:valAx>
        <c:axId val="34518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4176368"/>
        <c:crosses val="autoZero"/>
        <c:crossBetween val="midCat"/>
      </c:valAx>
      <c:valAx>
        <c:axId val="21141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4518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Q - v ; Omega = cte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actuaciones!$AS$7:$AS$19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actuaciones!$AT$7:$AT$19</c:f>
              <c:numCache>
                <c:formatCode>General</c:formatCode>
                <c:ptCount val="13"/>
                <c:pt idx="0">
                  <c:v>42.691009329233964</c:v>
                </c:pt>
                <c:pt idx="1">
                  <c:v>41.814958123308287</c:v>
                </c:pt>
                <c:pt idx="2">
                  <c:v>40.171486654279775</c:v>
                </c:pt>
                <c:pt idx="3">
                  <c:v>37.674649460230356</c:v>
                </c:pt>
                <c:pt idx="4">
                  <c:v>34.248932909685742</c:v>
                </c:pt>
                <c:pt idx="5">
                  <c:v>29.828845025170736</c:v>
                </c:pt>
                <c:pt idx="6">
                  <c:v>24.358007879329318</c:v>
                </c:pt>
                <c:pt idx="7">
                  <c:v>17.788081944210639</c:v>
                </c:pt>
                <c:pt idx="8">
                  <c:v>10.077634918451611</c:v>
                </c:pt>
                <c:pt idx="9">
                  <c:v>1.1911110808576184</c:v>
                </c:pt>
                <c:pt idx="10">
                  <c:v>-8.9020910662413133</c:v>
                </c:pt>
                <c:pt idx="11">
                  <c:v>-20.22841434249268</c:v>
                </c:pt>
                <c:pt idx="12">
                  <c:v>-32.810791346655854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8-497A-B81C-19CACBD939C5}"/>
            </c:ext>
          </c:extLst>
        </c:ser>
        <c:ser>
          <c:idx val="1"/>
          <c:order val="1"/>
          <c:tx>
            <c:v>350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actuaciones!$AS$7:$AS$19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actuaciones!$AU$7:$AU$19</c:f>
              <c:numCache>
                <c:formatCode>General</c:formatCode>
                <c:ptCount val="13"/>
                <c:pt idx="0">
                  <c:v>58.396634325850165</c:v>
                </c:pt>
                <c:pt idx="1">
                  <c:v>58.107207167938299</c:v>
                </c:pt>
                <c:pt idx="2">
                  <c:v>57.146191654021152</c:v>
                </c:pt>
                <c:pt idx="3">
                  <c:v>55.430659440442767</c:v>
                </c:pt>
                <c:pt idx="4">
                  <c:v>52.885014833229846</c:v>
                </c:pt>
                <c:pt idx="5">
                  <c:v>49.44136098147515</c:v>
                </c:pt>
                <c:pt idx="6">
                  <c:v>45.039364871669314</c:v>
                </c:pt>
                <c:pt idx="7">
                  <c:v>39.625805372070459</c:v>
                </c:pt>
                <c:pt idx="8">
                  <c:v>33.153955626548857</c:v>
                </c:pt>
                <c:pt idx="9">
                  <c:v>25.582863254096708</c:v>
                </c:pt>
                <c:pt idx="10">
                  <c:v>16.876651199304842</c:v>
                </c:pt>
                <c:pt idx="11">
                  <c:v>7.0038680008279197</c:v>
                </c:pt>
                <c:pt idx="12">
                  <c:v>-4.0631358052430802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48-497A-B81C-19CACBD939C5}"/>
            </c:ext>
          </c:extLst>
        </c:ser>
        <c:ser>
          <c:idx val="2"/>
          <c:order val="2"/>
          <c:tx>
            <c:v>400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actuaciones!$AS$7:$AS$19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actuaciones!$AV$7:$AV$19</c:f>
              <c:numCache>
                <c:formatCode>General</c:formatCode>
                <c:ptCount val="13"/>
                <c:pt idx="0">
                  <c:v>76.050912167915314</c:v>
                </c:pt>
                <c:pt idx="1">
                  <c:v>76.26995576029185</c:v>
                </c:pt>
                <c:pt idx="2">
                  <c:v>75.895126809266245</c:v>
                </c:pt>
                <c:pt idx="3">
                  <c:v>74.848585506626648</c:v>
                </c:pt>
                <c:pt idx="4">
                  <c:v>73.057362920077665</c:v>
                </c:pt>
                <c:pt idx="5">
                  <c:v>70.454057389897926</c:v>
                </c:pt>
                <c:pt idx="6">
                  <c:v>66.977153088951923</c:v>
                </c:pt>
                <c:pt idx="7">
                  <c:v>62.571005166033501</c:v>
                </c:pt>
                <c:pt idx="8">
                  <c:v>57.185620087486647</c:v>
                </c:pt>
                <c:pt idx="9">
                  <c:v>50.776285002917646</c:v>
                </c:pt>
                <c:pt idx="10">
                  <c:v>43.303126879341342</c:v>
                </c:pt>
                <c:pt idx="11">
                  <c:v>34.730626995752417</c:v>
                </c:pt>
                <c:pt idx="12">
                  <c:v>25.027150953545757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48-497A-B81C-19CACBD939C5}"/>
            </c:ext>
          </c:extLst>
        </c:ser>
        <c:ser>
          <c:idx val="3"/>
          <c:order val="3"/>
          <c:tx>
            <c:v>450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actuaciones!$AS$7:$AS$19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actuaciones!$AW$7:$AW$19</c:f>
              <c:numCache>
                <c:formatCode>General</c:formatCode>
                <c:ptCount val="13"/>
                <c:pt idx="0">
                  <c:v>95.700384648243883</c:v>
                </c:pt>
                <c:pt idx="1">
                  <c:v>96.373268146707659</c:v>
                </c:pt>
                <c:pt idx="2">
                  <c:v>96.515418918363025</c:v>
                </c:pt>
                <c:pt idx="3">
                  <c:v>96.054770122629122</c:v>
                </c:pt>
                <c:pt idx="4">
                  <c:v>94.922322587957353</c:v>
                </c:pt>
                <c:pt idx="5">
                  <c:v>93.052938504682118</c:v>
                </c:pt>
                <c:pt idx="6">
                  <c:v>90.385844738645304</c:v>
                </c:pt>
                <c:pt idx="7">
                  <c:v>86.864896241306752</c:v>
                </c:pt>
                <c:pt idx="8">
                  <c:v>82.438616927309411</c:v>
                </c:pt>
                <c:pt idx="9">
                  <c:v>77.060100236431907</c:v>
                </c:pt>
                <c:pt idx="10">
                  <c:v>70.686787354754699</c:v>
                </c:pt>
                <c:pt idx="11">
                  <c:v>63.280179915268384</c:v>
                </c:pt>
                <c:pt idx="12">
                  <c:v>54.805520151868429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48-497A-B81C-19CACBD939C5}"/>
            </c:ext>
          </c:extLst>
        </c:ser>
        <c:ser>
          <c:idx val="4"/>
          <c:order val="4"/>
          <c:tx>
            <c:v>500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actuaciones!$AS$7:$AS$19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actuaciones!$AX$7:$AX$19</c:f>
              <c:numCache>
                <c:formatCode>General</c:formatCode>
                <c:ptCount val="13"/>
                <c:pt idx="0">
                  <c:v>117.37365289152413</c:v>
                </c:pt>
                <c:pt idx="1">
                  <c:v>118.46122958273678</c:v>
                </c:pt>
                <c:pt idx="2">
                  <c:v>119.06975192079599</c:v>
                </c:pt>
                <c:pt idx="3">
                  <c:v>119.13289517143251</c:v>
                </c:pt>
                <c:pt idx="4">
                  <c:v>118.58613620302464</c:v>
                </c:pt>
                <c:pt idx="5">
                  <c:v>117.36751691669613</c:v>
                </c:pt>
                <c:pt idx="6">
                  <c:v>115.41821299889818</c:v>
                </c:pt>
                <c:pt idx="7">
                  <c:v>112.68291855744476</c:v>
                </c:pt>
                <c:pt idx="8">
                  <c:v>109.11004534700112</c:v>
                </c:pt>
                <c:pt idx="9">
                  <c:v>104.65180139257708</c:v>
                </c:pt>
                <c:pt idx="10">
                  <c:v>99.264143862035226</c:v>
                </c:pt>
                <c:pt idx="11">
                  <c:v>92.906650897881946</c:v>
                </c:pt>
                <c:pt idx="12">
                  <c:v>85.5423371264623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748-497A-B81C-19CACBD939C5}"/>
            </c:ext>
          </c:extLst>
        </c:ser>
        <c:ser>
          <c:idx val="5"/>
          <c:order val="5"/>
          <c:tx>
            <c:v>550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actuaciones!$AS$7:$AS$19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actuaciones!$AY$7:$AY$19</c:f>
              <c:numCache>
                <c:formatCode>General</c:formatCode>
                <c:ptCount val="13"/>
                <c:pt idx="0">
                  <c:v>141.08906119449514</c:v>
                </c:pt>
                <c:pt idx="1">
                  <c:v>142.56260008196628</c:v>
                </c:pt>
                <c:pt idx="2">
                  <c:v>143.5997920043271</c:v>
                </c:pt>
                <c:pt idx="3">
                  <c:v>144.13969822541776</c:v>
                </c:pt>
                <c:pt idx="4">
                  <c:v>144.12230586346485</c:v>
                </c:pt>
                <c:pt idx="5">
                  <c:v>143.48922418301214</c:v>
                </c:pt>
                <c:pt idx="6">
                  <c:v>142.18423665138613</c:v>
                </c:pt>
                <c:pt idx="7">
                  <c:v>140.15372322085915</c:v>
                </c:pt>
                <c:pt idx="8">
                  <c:v>137.34694442569239</c:v>
                </c:pt>
                <c:pt idx="9">
                  <c:v>133.71622896776034</c:v>
                </c:pt>
                <c:pt idx="10">
                  <c:v>129.2170267149483</c:v>
                </c:pt>
                <c:pt idx="11">
                  <c:v>123.80791913116978</c:v>
                </c:pt>
                <c:pt idx="12">
                  <c:v>117.45053460778212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48-497A-B81C-19CACBD93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777040"/>
        <c:axId val="124902368"/>
      </c:scatterChart>
      <c:valAx>
        <c:axId val="28577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4902368"/>
        <c:crosses val="autoZero"/>
        <c:crossBetween val="midCat"/>
      </c:valAx>
      <c:valAx>
        <c:axId val="12490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Q(N.m)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577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 - v ; Omega = cte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actuaciones!$AD$26:$AD$38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actuaciones!$AE$26:$AE$38</c:f>
              <c:numCache>
                <c:formatCode>General</c:formatCode>
                <c:ptCount val="13"/>
                <c:pt idx="0">
                  <c:v>12807.30279877019</c:v>
                </c:pt>
                <c:pt idx="1">
                  <c:v>12544.487436992486</c:v>
                </c:pt>
                <c:pt idx="2">
                  <c:v>12051.445996283932</c:v>
                </c:pt>
                <c:pt idx="3">
                  <c:v>11302.394838069107</c:v>
                </c:pt>
                <c:pt idx="4">
                  <c:v>10274.679872905723</c:v>
                </c:pt>
                <c:pt idx="5">
                  <c:v>8948.6535075512202</c:v>
                </c:pt>
                <c:pt idx="6">
                  <c:v>7307.4023637987957</c:v>
                </c:pt>
                <c:pt idx="7">
                  <c:v>5336.4245832631914</c:v>
                </c:pt>
                <c:pt idx="8">
                  <c:v>3023.2904755354834</c:v>
                </c:pt>
                <c:pt idx="9">
                  <c:v>357.33332425728554</c:v>
                </c:pt>
                <c:pt idx="10">
                  <c:v>-2670.6273198723939</c:v>
                </c:pt>
                <c:pt idx="11">
                  <c:v>-6068.5243027478045</c:v>
                </c:pt>
                <c:pt idx="12">
                  <c:v>-9843.2374039967563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8-4074-85D2-86ED03A67EAA}"/>
            </c:ext>
          </c:extLst>
        </c:ser>
        <c:ser>
          <c:idx val="1"/>
          <c:order val="1"/>
          <c:tx>
            <c:v>350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actuaciones!$AD$26:$AD$38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actuaciones!$AF$26:$AF$38</c:f>
              <c:numCache>
                <c:formatCode>General</c:formatCode>
                <c:ptCount val="13"/>
                <c:pt idx="0">
                  <c:v>20438.822014047557</c:v>
                </c:pt>
                <c:pt idx="1">
                  <c:v>20337.522508778406</c:v>
                </c:pt>
                <c:pt idx="2">
                  <c:v>20001.167078907401</c:v>
                </c:pt>
                <c:pt idx="3">
                  <c:v>19400.73080415497</c:v>
                </c:pt>
                <c:pt idx="4">
                  <c:v>18509.755191630447</c:v>
                </c:pt>
                <c:pt idx="5">
                  <c:v>17304.476343516304</c:v>
                </c:pt>
                <c:pt idx="6">
                  <c:v>15763.77770508426</c:v>
                </c:pt>
                <c:pt idx="7">
                  <c:v>13869.03188022466</c:v>
                </c:pt>
                <c:pt idx="8">
                  <c:v>11603.884469292099</c:v>
                </c:pt>
                <c:pt idx="9">
                  <c:v>8954.0021389338472</c:v>
                </c:pt>
                <c:pt idx="10">
                  <c:v>5906.8279197566944</c:v>
                </c:pt>
                <c:pt idx="11">
                  <c:v>2451.3538002897717</c:v>
                </c:pt>
                <c:pt idx="12">
                  <c:v>-1422.0975318350781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48-4074-85D2-86ED03A67EAA}"/>
            </c:ext>
          </c:extLst>
        </c:ser>
        <c:ser>
          <c:idx val="2"/>
          <c:order val="2"/>
          <c:tx>
            <c:v>400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actuaciones!$AD$26:$AD$38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actuaciones!$AG$26:$AG$38</c:f>
              <c:numCache>
                <c:formatCode>General</c:formatCode>
                <c:ptCount val="13"/>
                <c:pt idx="0">
                  <c:v>30420.364867166125</c:v>
                </c:pt>
                <c:pt idx="1">
                  <c:v>30507.98230411674</c:v>
                </c:pt>
                <c:pt idx="2">
                  <c:v>30358.050723706499</c:v>
                </c:pt>
                <c:pt idx="3">
                  <c:v>29939.43420265066</c:v>
                </c:pt>
                <c:pt idx="4">
                  <c:v>29222.945168031067</c:v>
                </c:pt>
                <c:pt idx="5">
                  <c:v>28181.62295595917</c:v>
                </c:pt>
                <c:pt idx="6">
                  <c:v>26790.861235580771</c:v>
                </c:pt>
                <c:pt idx="7">
                  <c:v>25028.4020664134</c:v>
                </c:pt>
                <c:pt idx="8">
                  <c:v>22874.24803499466</c:v>
                </c:pt>
                <c:pt idx="9">
                  <c:v>20310.514001167059</c:v>
                </c:pt>
                <c:pt idx="10">
                  <c:v>17321.250751736537</c:v>
                </c:pt>
                <c:pt idx="11">
                  <c:v>13892.250798300967</c:v>
                </c:pt>
                <c:pt idx="12">
                  <c:v>10010.860381418302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48-4074-85D2-86ED03A67EAA}"/>
            </c:ext>
          </c:extLst>
        </c:ser>
        <c:ser>
          <c:idx val="3"/>
          <c:order val="3"/>
          <c:tx>
            <c:v>450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actuaciones!$AD$26:$AD$38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actuaciones!$AH$26:$AH$38</c:f>
              <c:numCache>
                <c:formatCode>General</c:formatCode>
                <c:ptCount val="13"/>
                <c:pt idx="0">
                  <c:v>43065.173091709745</c:v>
                </c:pt>
                <c:pt idx="1">
                  <c:v>43367.970666018446</c:v>
                </c:pt>
                <c:pt idx="2">
                  <c:v>43431.938513263362</c:v>
                </c:pt>
                <c:pt idx="3">
                  <c:v>43224.646555183106</c:v>
                </c:pt>
                <c:pt idx="4">
                  <c:v>42715.045164580806</c:v>
                </c:pt>
                <c:pt idx="5">
                  <c:v>41873.822327106951</c:v>
                </c:pt>
                <c:pt idx="6">
                  <c:v>40673.63013239039</c:v>
                </c:pt>
                <c:pt idx="7">
                  <c:v>39089.203308588039</c:v>
                </c:pt>
                <c:pt idx="8">
                  <c:v>37097.377617289232</c:v>
                </c:pt>
                <c:pt idx="9">
                  <c:v>34677.045106394355</c:v>
                </c:pt>
                <c:pt idx="10">
                  <c:v>31809.054309639614</c:v>
                </c:pt>
                <c:pt idx="11">
                  <c:v>28476.080961870772</c:v>
                </c:pt>
                <c:pt idx="12">
                  <c:v>24662.484068340793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48-4074-85D2-86ED03A67EAA}"/>
            </c:ext>
          </c:extLst>
        </c:ser>
        <c:ser>
          <c:idx val="4"/>
          <c:order val="4"/>
          <c:tx>
            <c:v>500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actuaciones!$AD$26:$AD$38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actuaciones!$AI$26:$AI$38</c:f>
              <c:numCache>
                <c:formatCode>General</c:formatCode>
                <c:ptCount val="13"/>
                <c:pt idx="0">
                  <c:v>58686.826445762068</c:v>
                </c:pt>
                <c:pt idx="1">
                  <c:v>59230.614791368389</c:v>
                </c:pt>
                <c:pt idx="2">
                  <c:v>59534.875960398</c:v>
                </c:pt>
                <c:pt idx="3">
                  <c:v>59566.447585716254</c:v>
                </c:pt>
                <c:pt idx="4">
                  <c:v>59293.068101512319</c:v>
                </c:pt>
                <c:pt idx="5">
                  <c:v>58683.758458348064</c:v>
                </c:pt>
                <c:pt idx="6">
                  <c:v>57709.106499449095</c:v>
                </c:pt>
                <c:pt idx="7">
                  <c:v>56341.459278722381</c:v>
                </c:pt>
                <c:pt idx="8">
                  <c:v>54555.022673500556</c:v>
                </c:pt>
                <c:pt idx="9">
                  <c:v>52325.90069628854</c:v>
                </c:pt>
                <c:pt idx="10">
                  <c:v>49632.071931017614</c:v>
                </c:pt>
                <c:pt idx="11">
                  <c:v>46453.325448940974</c:v>
                </c:pt>
                <c:pt idx="12">
                  <c:v>42771.168563231149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48-4074-85D2-86ED03A67EAA}"/>
            </c:ext>
          </c:extLst>
        </c:ser>
        <c:ser>
          <c:idx val="5"/>
          <c:order val="5"/>
          <c:tx>
            <c:v>550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actuaciones!$AD$26:$AD$38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actuaciones!$AJ$26:$AJ$38</c:f>
              <c:numCache>
                <c:formatCode>General</c:formatCode>
                <c:ptCount val="13"/>
                <c:pt idx="0">
                  <c:v>77598.983656972327</c:v>
                </c:pt>
                <c:pt idx="1">
                  <c:v>78409.430045081448</c:v>
                </c:pt>
                <c:pt idx="2">
                  <c:v>78979.885602379902</c:v>
                </c:pt>
                <c:pt idx="3">
                  <c:v>79276.834023979769</c:v>
                </c:pt>
                <c:pt idx="4">
                  <c:v>79267.268224905667</c:v>
                </c:pt>
                <c:pt idx="5">
                  <c:v>78919.073300656673</c:v>
                </c:pt>
                <c:pt idx="6">
                  <c:v>78201.330158262368</c:v>
                </c:pt>
                <c:pt idx="7">
                  <c:v>77084.547771472528</c:v>
                </c:pt>
                <c:pt idx="8">
                  <c:v>75540.819434130812</c:v>
                </c:pt>
                <c:pt idx="9">
                  <c:v>73543.92593226819</c:v>
                </c:pt>
                <c:pt idx="10">
                  <c:v>71069.364693221563</c:v>
                </c:pt>
                <c:pt idx="11">
                  <c:v>68094.355522143378</c:v>
                </c:pt>
                <c:pt idx="12">
                  <c:v>64597.794034280167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48-4074-85D2-86ED03A67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07744"/>
        <c:axId val="124903616"/>
      </c:scatterChart>
      <c:valAx>
        <c:axId val="29230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v(m/s)</a:t>
                </a:r>
              </a:p>
            </c:rich>
          </c:tx>
          <c:layout>
            <c:manualLayout>
              <c:xMode val="edge"/>
              <c:yMode val="edge"/>
              <c:x val="0.4127209098862642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4903616"/>
        <c:crosses val="autoZero"/>
        <c:crossBetween val="midCat"/>
      </c:valAx>
      <c:valAx>
        <c:axId val="12490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230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Pu - v ; Omega = cte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actuaciones!$AS$26:$AS$38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actuaciones!$AT$26:$AT$38</c:f>
              <c:numCache>
                <c:formatCode>General</c:formatCode>
                <c:ptCount val="13"/>
                <c:pt idx="0">
                  <c:v>8783.1626807455505</c:v>
                </c:pt>
                <c:pt idx="1">
                  <c:v>9295.9465373719249</c:v>
                </c:pt>
                <c:pt idx="2">
                  <c:v>9475.7026815387526</c:v>
                </c:pt>
                <c:pt idx="3">
                  <c:v>9302.7644196969904</c:v>
                </c:pt>
                <c:pt idx="4">
                  <c:v>8758.5937925822291</c:v>
                </c:pt>
                <c:pt idx="5">
                  <c:v>7825.4987820922388</c:v>
                </c:pt>
                <c:pt idx="6">
                  <c:v>6486.3689101088412</c:v>
                </c:pt>
                <c:pt idx="7">
                  <c:v>4724.4734681455047</c:v>
                </c:pt>
                <c:pt idx="8">
                  <c:v>2523.3031250807044</c:v>
                </c:pt>
                <c:pt idx="9">
                  <c:v>-133.53237328883611</c:v>
                </c:pt>
                <c:pt idx="10">
                  <c:v>-3262.3729916356097</c:v>
                </c:pt>
                <c:pt idx="11">
                  <c:v>-6879.5516096968049</c:v>
                </c:pt>
                <c:pt idx="12">
                  <c:v>-11001.412319299903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B9-4339-B790-64D4AC7D8EBC}"/>
            </c:ext>
          </c:extLst>
        </c:ser>
        <c:ser>
          <c:idx val="1"/>
          <c:order val="1"/>
          <c:tx>
            <c:v>350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actuaciones!$AS$26:$AS$38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actuaciones!$AU$26:$AU$38</c:f>
              <c:numCache>
                <c:formatCode>General</c:formatCode>
                <c:ptCount val="13"/>
                <c:pt idx="0">
                  <c:v>12853.776031850417</c:v>
                </c:pt>
                <c:pt idx="1">
                  <c:v>13947.336983341453</c:v>
                </c:pt>
                <c:pt idx="2">
                  <c:v>14676.915188770688</c:v>
                </c:pt>
                <c:pt idx="3">
                  <c:v>15021.330555875982</c:v>
                </c:pt>
                <c:pt idx="4">
                  <c:v>14960.642573969475</c:v>
                </c:pt>
                <c:pt idx="5">
                  <c:v>14475.954965984347</c:v>
                </c:pt>
                <c:pt idx="6">
                  <c:v>13549.1971024922</c:v>
                </c:pt>
                <c:pt idx="7">
                  <c:v>12162.918045135704</c:v>
                </c:pt>
                <c:pt idx="8">
                  <c:v>10300.113757185463</c:v>
                </c:pt>
                <c:pt idx="9">
                  <c:v>7944.0768912350886</c:v>
                </c:pt>
                <c:pt idx="10">
                  <c:v>5078.2893793363637</c:v>
                </c:pt>
                <c:pt idx="11">
                  <c:v>1686.3473333330833</c:v>
                </c:pt>
                <c:pt idx="12">
                  <c:v>-2248.1033490358127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B9-4339-B790-64D4AC7D8EBC}"/>
            </c:ext>
          </c:extLst>
        </c:ser>
        <c:ser>
          <c:idx val="2"/>
          <c:order val="2"/>
          <c:tx>
            <c:v>400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actuaciones!$AS$26:$AS$38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actuaciones!$AV$26:$AV$38</c:f>
              <c:numCache>
                <c:formatCode>General</c:formatCode>
                <c:ptCount val="13"/>
                <c:pt idx="0">
                  <c:v>17626.325932177941</c:v>
                </c:pt>
                <c:pt idx="1">
                  <c:v>19419.606052188501</c:v>
                </c:pt>
                <c:pt idx="2">
                  <c:v>20819.348103873082</c:v>
                </c:pt>
                <c:pt idx="3">
                  <c:v>21803.079298063585</c:v>
                </c:pt>
                <c:pt idx="4">
                  <c:v>22349.539960020782</c:v>
                </c:pt>
                <c:pt idx="5">
                  <c:v>22438.57623273183</c:v>
                </c:pt>
                <c:pt idx="6">
                  <c:v>22050.996442264113</c:v>
                </c:pt>
                <c:pt idx="7">
                  <c:v>21168.400676987592</c:v>
                </c:pt>
                <c:pt idx="8">
                  <c:v>19773.019349898925</c:v>
                </c:pt>
                <c:pt idx="9">
                  <c:v>17847.56317274677</c:v>
                </c:pt>
                <c:pt idx="10">
                  <c:v>15375.097424842543</c:v>
                </c:pt>
                <c:pt idx="11">
                  <c:v>12338.933110072396</c:v>
                </c:pt>
                <c:pt idx="12">
                  <c:v>8722.5457320205405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B9-4339-B790-64D4AC7D8EBC}"/>
            </c:ext>
          </c:extLst>
        </c:ser>
        <c:ser>
          <c:idx val="3"/>
          <c:order val="3"/>
          <c:tx>
            <c:v>450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actuaciones!$AS$26:$AS$38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actuaciones!$AW$26:$AW$38</c:f>
              <c:numCache>
                <c:formatCode>General</c:formatCode>
                <c:ptCount val="13"/>
                <c:pt idx="0">
                  <c:v>23099.954901767895</c:v>
                </c:pt>
                <c:pt idx="1">
                  <c:v>25710.985128411445</c:v>
                </c:pt>
                <c:pt idx="2">
                  <c:v>27899.896372367439</c:v>
                </c:pt>
                <c:pt idx="3">
                  <c:v>29643.173518342261</c:v>
                </c:pt>
                <c:pt idx="4">
                  <c:v>30918.414170956676</c:v>
                </c:pt>
                <c:pt idx="5">
                  <c:v>31704.296833653974</c:v>
                </c:pt>
                <c:pt idx="6">
                  <c:v>31980.496438408984</c:v>
                </c:pt>
                <c:pt idx="7">
                  <c:v>31727.575050063391</c:v>
                </c:pt>
                <c:pt idx="8">
                  <c:v>30926.847768277785</c:v>
                </c:pt>
                <c:pt idx="9">
                  <c:v>29560.254801896379</c:v>
                </c:pt>
                <c:pt idx="10">
                  <c:v>27610.234199361872</c:v>
                </c:pt>
                <c:pt idx="11">
                  <c:v>25059.609631420746</c:v>
                </c:pt>
                <c:pt idx="12">
                  <c:v>21891.496217035696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B9-4339-B790-64D4AC7D8EBC}"/>
            </c:ext>
          </c:extLst>
        </c:ser>
        <c:ser>
          <c:idx val="4"/>
          <c:order val="4"/>
          <c:tx>
            <c:v>500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actuaciones!$AS$26:$AS$38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actuaciones!$AX$26:$AX$38</c:f>
              <c:numCache>
                <c:formatCode>General</c:formatCode>
                <c:ptCount val="13"/>
                <c:pt idx="0">
                  <c:v>29274.221561789614</c:v>
                </c:pt>
                <c:pt idx="1">
                  <c:v>32820.498144417157</c:v>
                </c:pt>
                <c:pt idx="2">
                  <c:v>35916.74252989269</c:v>
                </c:pt>
                <c:pt idx="3">
                  <c:v>38538.622360646201</c:v>
                </c:pt>
                <c:pt idx="4">
                  <c:v>40662.789514173142</c:v>
                </c:pt>
                <c:pt idx="5">
                  <c:v>42266.897243290732</c:v>
                </c:pt>
                <c:pt idx="6">
                  <c:v>43329.571730695148</c:v>
                </c:pt>
                <c:pt idx="7">
                  <c:v>43830.350904585292</c:v>
                </c:pt>
                <c:pt idx="8">
                  <c:v>43749.587569784795</c:v>
                </c:pt>
                <c:pt idx="9">
                  <c:v>43068.352255911479</c:v>
                </c:pt>
                <c:pt idx="10">
                  <c:v>41768.323447525603</c:v>
                </c:pt>
                <c:pt idx="11">
                  <c:v>39831.682425563784</c:v>
                </c:pt>
                <c:pt idx="12">
                  <c:v>37241.01697169173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B9-4339-B790-64D4AC7D8EBC}"/>
            </c:ext>
          </c:extLst>
        </c:ser>
        <c:ser>
          <c:idx val="5"/>
          <c:order val="5"/>
          <c:tx>
            <c:v>550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actuaciones!$AS$26:$AS$38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actuaciones!$AY$26:$AY$38</c:f>
              <c:numCache>
                <c:formatCode>General</c:formatCode>
                <c:ptCount val="13"/>
                <c:pt idx="0">
                  <c:v>36148.893163861314</c:v>
                </c:pt>
                <c:pt idx="1">
                  <c:v>40747.596090671614</c:v>
                </c:pt>
                <c:pt idx="2">
                  <c:v>44868.809570743455</c:v>
                </c:pt>
                <c:pt idx="3">
                  <c:v>48487.569781681588</c:v>
                </c:pt>
                <c:pt idx="4">
                  <c:v>51579.761234801314</c:v>
                </c:pt>
                <c:pt idx="5">
                  <c:v>54122.172498578664</c:v>
                </c:pt>
                <c:pt idx="6">
                  <c:v>56092.50286756194</c:v>
                </c:pt>
                <c:pt idx="7">
                  <c:v>57469.338444317676</c:v>
                </c:pt>
                <c:pt idx="8">
                  <c:v>58232.095647784343</c:v>
                </c:pt>
                <c:pt idx="9">
                  <c:v>58360.957355776074</c:v>
                </c:pt>
                <c:pt idx="10">
                  <c:v>57836.776540704348</c:v>
                </c:pt>
                <c:pt idx="11">
                  <c:v>56640.999744426364</c:v>
                </c:pt>
                <c:pt idx="12">
                  <c:v>54755.571785405169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B9-4339-B790-64D4AC7D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623312"/>
        <c:axId val="1722204976"/>
      </c:scatterChart>
      <c:valAx>
        <c:axId val="2926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2204976"/>
        <c:crosses val="autoZero"/>
        <c:crossBetween val="midCat"/>
      </c:valAx>
      <c:valAx>
        <c:axId val="172220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Pu(W)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2623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P/T - v ; Omega = cte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646981627296591"/>
          <c:y val="0.14814814814814814"/>
          <c:w val="0.7156412948381452"/>
          <c:h val="0.67500801983085446"/>
        </c:manualLayout>
      </c:layout>
      <c:scatterChart>
        <c:scatterStyle val="lineMarker"/>
        <c:varyColors val="0"/>
        <c:ser>
          <c:idx val="0"/>
          <c:order val="0"/>
          <c:tx>
            <c:v>300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actuaciones!$AD$45:$AD$55</c:f>
              <c:numCache>
                <c:formatCode>General</c:formatCode>
                <c:ptCount val="11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</c:numCache>
            </c:numRef>
          </c:xVal>
          <c:yVal>
            <c:numRef>
              <c:f>actuaciones!$AE$45:$AE$55</c:f>
              <c:numCache>
                <c:formatCode>General</c:formatCode>
                <c:ptCount val="11"/>
                <c:pt idx="0">
                  <c:v>43.744958157884376</c:v>
                </c:pt>
                <c:pt idx="1">
                  <c:v>47.23102252466952</c:v>
                </c:pt>
                <c:pt idx="2">
                  <c:v>50.873044042479002</c:v>
                </c:pt>
                <c:pt idx="3">
                  <c:v>54.672755835482739</c:v>
                </c:pt>
                <c:pt idx="4">
                  <c:v>58.654848690479781</c:v>
                </c:pt>
                <c:pt idx="5">
                  <c:v>62.893875089675511</c:v>
                </c:pt>
                <c:pt idx="6">
                  <c:v>67.594697110832485</c:v>
                </c:pt>
                <c:pt idx="7">
                  <c:v>73.419313337421102</c:v>
                </c:pt>
                <c:pt idx="8">
                  <c:v>83.870356749435388</c:v>
                </c:pt>
                <c:pt idx="9">
                  <c:v>-200.70038942037593</c:v>
                </c:pt>
                <c:pt idx="10">
                  <c:v>65.489196403222039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C-425F-9076-80912C2F30BC}"/>
            </c:ext>
          </c:extLst>
        </c:ser>
        <c:ser>
          <c:idx val="1"/>
          <c:order val="1"/>
          <c:tx>
            <c:v>350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actuaciones!$AD$45:$AD$57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actuaciones!$AF$45:$AF$57</c:f>
              <c:numCache>
                <c:formatCode>General</c:formatCode>
                <c:ptCount val="13"/>
                <c:pt idx="0">
                  <c:v>47.703076426885282</c:v>
                </c:pt>
                <c:pt idx="1">
                  <c:v>51.035784727753139</c:v>
                </c:pt>
                <c:pt idx="2">
                  <c:v>54.510547541244364</c:v>
                </c:pt>
                <c:pt idx="3">
                  <c:v>58.119544266700416</c:v>
                </c:pt>
                <c:pt idx="4">
                  <c:v>61.861497927355721</c:v>
                </c:pt>
                <c:pt idx="5">
                  <c:v>65.746695201098206</c:v>
                </c:pt>
                <c:pt idx="6">
                  <c:v>69.806842069710754</c:v>
                </c:pt>
                <c:pt idx="7">
                  <c:v>74.117663941272141</c:v>
                </c:pt>
                <c:pt idx="8">
                  <c:v>78.860479796526306</c:v>
                </c:pt>
                <c:pt idx="9">
                  <c:v>84.534700458523716</c:v>
                </c:pt>
                <c:pt idx="10">
                  <c:v>93.052246195999246</c:v>
                </c:pt>
                <c:pt idx="11">
                  <c:v>123.55999793517913</c:v>
                </c:pt>
                <c:pt idx="12">
                  <c:v>56.931892352747063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C-425F-9076-80912C2F30BC}"/>
            </c:ext>
          </c:extLst>
        </c:ser>
        <c:ser>
          <c:idx val="2"/>
          <c:order val="2"/>
          <c:tx>
            <c:v>400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actuaciones!$AD$45:$AD$57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actuaciones!$AG$45:$AG$57</c:f>
              <c:numCache>
                <c:formatCode>General</c:formatCode>
                <c:ptCount val="13"/>
                <c:pt idx="0">
                  <c:v>51.775449377624213</c:v>
                </c:pt>
                <c:pt idx="1">
                  <c:v>54.984605649286685</c:v>
                </c:pt>
                <c:pt idx="2">
                  <c:v>58.326611519712102</c:v>
                </c:pt>
                <c:pt idx="3">
                  <c:v>61.792855986123776</c:v>
                </c:pt>
                <c:pt idx="4">
                  <c:v>65.377061944687782</c:v>
                </c:pt>
                <c:pt idx="5">
                  <c:v>69.076988062938611</c:v>
                </c:pt>
                <c:pt idx="6">
                  <c:v>72.897008456902142</c:v>
                </c:pt>
                <c:pt idx="7">
                  <c:v>76.852576590041309</c:v>
                </c:pt>
                <c:pt idx="8">
                  <c:v>80.978900294143045</c:v>
                </c:pt>
                <c:pt idx="9">
                  <c:v>85.34994583538392</c:v>
                </c:pt>
                <c:pt idx="10">
                  <c:v>90.126262087936922</c:v>
                </c:pt>
                <c:pt idx="11">
                  <c:v>95.700439196939129</c:v>
                </c:pt>
                <c:pt idx="12">
                  <c:v>103.29294474434812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CC-425F-9076-80912C2F30BC}"/>
            </c:ext>
          </c:extLst>
        </c:ser>
        <c:ser>
          <c:idx val="3"/>
          <c:order val="3"/>
          <c:tx>
            <c:v>450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actuaciones!$AD$45:$AD$57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actuaciones!$AH$45:$AH$57</c:f>
              <c:numCache>
                <c:formatCode>General</c:formatCode>
                <c:ptCount val="13"/>
                <c:pt idx="0">
                  <c:v>55.92890541324892</c:v>
                </c:pt>
                <c:pt idx="1">
                  <c:v>59.036204397837011</c:v>
                </c:pt>
                <c:pt idx="2">
                  <c:v>62.268243485347334</c:v>
                </c:pt>
                <c:pt idx="3">
                  <c:v>65.617437815140391</c:v>
                </c:pt>
                <c:pt idx="4">
                  <c:v>69.077031131669969</c:v>
                </c:pt>
                <c:pt idx="5">
                  <c:v>72.641895831173073</c:v>
                </c:pt>
                <c:pt idx="6">
                  <c:v>76.309566133327763</c:v>
                </c:pt>
                <c:pt idx="7">
                  <c:v>80.081702148653378</c:v>
                </c:pt>
                <c:pt idx="8">
                  <c:v>83.966411729612062</c:v>
                </c:pt>
                <c:pt idx="9">
                  <c:v>87.982272155946674</c:v>
                </c:pt>
                <c:pt idx="10">
                  <c:v>92.165981874575436</c:v>
                </c:pt>
                <c:pt idx="11">
                  <c:v>96.588371381656998</c:v>
                </c:pt>
                <c:pt idx="12">
                  <c:v>101.39204484449023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CC-425F-9076-80912C2F30BC}"/>
            </c:ext>
          </c:extLst>
        </c:ser>
        <c:ser>
          <c:idx val="4"/>
          <c:order val="4"/>
          <c:tx>
            <c:v>500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actuaciones!$AD$45:$AD$57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actuaciones!$AI$45:$AI$57</c:f>
              <c:numCache>
                <c:formatCode>General</c:formatCode>
                <c:ptCount val="13"/>
                <c:pt idx="0">
                  <c:v>60.141814177935444</c:v>
                </c:pt>
                <c:pt idx="1">
                  <c:v>63.163926049383498</c:v>
                </c:pt>
                <c:pt idx="2">
                  <c:v>66.303202091167904</c:v>
                </c:pt>
                <c:pt idx="3">
                  <c:v>69.553346154231491</c:v>
                </c:pt>
                <c:pt idx="4">
                  <c:v>72.908264300024882</c:v>
                </c:pt>
                <c:pt idx="5">
                  <c:v>76.362518323283822</c:v>
                </c:pt>
                <c:pt idx="6">
                  <c:v>79.911853537062299</c:v>
                </c:pt>
                <c:pt idx="7">
                  <c:v>83.553856575075599</c:v>
                </c:pt>
                <c:pt idx="8">
                  <c:v>87.288859147611475</c:v>
                </c:pt>
                <c:pt idx="9">
                  <c:v>91.121260662647686</c:v>
                </c:pt>
                <c:pt idx="10">
                  <c:v>95.061650235248536</c:v>
                </c:pt>
                <c:pt idx="11">
                  <c:v>99.130451507763411</c:v>
                </c:pt>
                <c:pt idx="12">
                  <c:v>103.36466304389266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CC-425F-9076-80912C2F30BC}"/>
            </c:ext>
          </c:extLst>
        </c:ser>
        <c:ser>
          <c:idx val="5"/>
          <c:order val="5"/>
          <c:tx>
            <c:v>550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actuaciones!$AD$45:$AD$57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actuaciones!$AJ$45:$AJ$57</c:f>
              <c:numCache>
                <c:formatCode>General</c:formatCode>
                <c:ptCount val="13"/>
                <c:pt idx="0">
                  <c:v>64.399468585568812</c:v>
                </c:pt>
                <c:pt idx="1">
                  <c:v>67.349495795314226</c:v>
                </c:pt>
                <c:pt idx="2">
                  <c:v>70.409610914998254</c:v>
                </c:pt>
                <c:pt idx="3">
                  <c:v>73.574682070926585</c:v>
                </c:pt>
                <c:pt idx="4">
                  <c:v>76.839506743803383</c:v>
                </c:pt>
                <c:pt idx="5">
                  <c:v>80.199090892925767</c:v>
                </c:pt>
                <c:pt idx="6">
                  <c:v>83.648965006500944</c:v>
                </c:pt>
                <c:pt idx="7">
                  <c:v>87.185545210345651</c:v>
                </c:pt>
                <c:pt idx="8">
                  <c:v>90.806578426657623</c:v>
                </c:pt>
                <c:pt idx="9">
                  <c:v>94.511719732339301</c:v>
                </c:pt>
                <c:pt idx="10">
                  <c:v>98.303354984805395</c:v>
                </c:pt>
                <c:pt idx="11">
                  <c:v>102.18781881496972</c:v>
                </c:pt>
                <c:pt idx="12">
                  <c:v>106.17734914485645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CC-425F-9076-80912C2F3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089440"/>
        <c:axId val="347905024"/>
      </c:scatterChart>
      <c:valAx>
        <c:axId val="33808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47905024"/>
        <c:crosses val="autoZero"/>
        <c:crossBetween val="midCat"/>
      </c:valAx>
      <c:valAx>
        <c:axId val="34790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P/T(W/N)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3808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η - v ; Omega = cte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actuaciones!$AS$45:$AS$55</c:f>
              <c:numCache>
                <c:formatCode>General</c:formatCode>
                <c:ptCount val="11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</c:numCache>
            </c:numRef>
          </c:xVal>
          <c:yVal>
            <c:numRef>
              <c:f>actuaciones!$AT$45:$AT$55</c:f>
              <c:numCache>
                <c:formatCode>General</c:formatCode>
                <c:ptCount val="11"/>
                <c:pt idx="0">
                  <c:v>0.6857933179801875</c:v>
                </c:pt>
                <c:pt idx="1">
                  <c:v>0.74103837116206706</c:v>
                </c:pt>
                <c:pt idx="2">
                  <c:v>0.78627101548317013</c:v>
                </c:pt>
                <c:pt idx="3">
                  <c:v>0.82307905120807723</c:v>
                </c:pt>
                <c:pt idx="4">
                  <c:v>0.85244444604825065</c:v>
                </c:pt>
                <c:pt idx="5">
                  <c:v>0.87448896926099329</c:v>
                </c:pt>
                <c:pt idx="6">
                  <c:v>0.88764359579302876</c:v>
                </c:pt>
                <c:pt idx="7">
                  <c:v>0.88532563225254424</c:v>
                </c:pt>
                <c:pt idx="8">
                  <c:v>0.83462146475812204</c:v>
                </c:pt>
                <c:pt idx="9">
                  <c:v>-0.37369135265058773</c:v>
                </c:pt>
                <c:pt idx="10">
                  <c:v>1.2215755329693438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B5-43F7-B78C-E77A0CC4195E}"/>
            </c:ext>
          </c:extLst>
        </c:ser>
        <c:ser>
          <c:idx val="1"/>
          <c:order val="1"/>
          <c:tx>
            <c:v>350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actuaciones!$AS$45:$AS$57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actuaciones!$AU$45:$AU$57</c:f>
              <c:numCache>
                <c:formatCode>General</c:formatCode>
                <c:ptCount val="13"/>
                <c:pt idx="0">
                  <c:v>0.62889025713008539</c:v>
                </c:pt>
                <c:pt idx="1">
                  <c:v>0.68579331515533815</c:v>
                </c:pt>
                <c:pt idx="2">
                  <c:v>0.7338029391419113</c:v>
                </c:pt>
                <c:pt idx="3">
                  <c:v>0.77426622262388844</c:v>
                </c:pt>
                <c:pt idx="4">
                  <c:v>0.80825718217679221</c:v>
                </c:pt>
                <c:pt idx="5">
                  <c:v>0.83654394843379609</c:v>
                </c:pt>
                <c:pt idx="6">
                  <c:v>0.85951460087655285</c:v>
                </c:pt>
                <c:pt idx="7">
                  <c:v>0.87698392722554486</c:v>
                </c:pt>
                <c:pt idx="8">
                  <c:v>0.8876435976627598</c:v>
                </c:pt>
                <c:pt idx="9">
                  <c:v>0.88720962626227262</c:v>
                </c:pt>
                <c:pt idx="10">
                  <c:v>0.85973206741826691</c:v>
                </c:pt>
                <c:pt idx="11">
                  <c:v>0.68792490628392444</c:v>
                </c:pt>
                <c:pt idx="12">
                  <c:v>1.5808362638354732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B5-43F7-B78C-E77A0CC4195E}"/>
            </c:ext>
          </c:extLst>
        </c:ser>
        <c:ser>
          <c:idx val="2"/>
          <c:order val="2"/>
          <c:tx>
            <c:v>400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actuaciones!$AS$45:$AS$57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actuaciones!$AV$45:$AV$57</c:f>
              <c:numCache>
                <c:formatCode>General</c:formatCode>
                <c:ptCount val="13"/>
                <c:pt idx="0">
                  <c:v>0.57942519786153901</c:v>
                </c:pt>
                <c:pt idx="1">
                  <c:v>0.63654180268644067</c:v>
                </c:pt>
                <c:pt idx="2">
                  <c:v>0.68579331042540637</c:v>
                </c:pt>
                <c:pt idx="3">
                  <c:v>0.72823952351555366</c:v>
                </c:pt>
                <c:pt idx="4">
                  <c:v>0.76479423382932799</c:v>
                </c:pt>
                <c:pt idx="5">
                  <c:v>0.79621305940391418</c:v>
                </c:pt>
                <c:pt idx="6">
                  <c:v>0.82307904357245243</c:v>
                </c:pt>
                <c:pt idx="7">
                  <c:v>0.84577515659276958</c:v>
                </c:pt>
                <c:pt idx="8">
                  <c:v>0.86442270450371728</c:v>
                </c:pt>
                <c:pt idx="9">
                  <c:v>0.87873517980496374</c:v>
                </c:pt>
                <c:pt idx="10">
                  <c:v>0.88764360294831002</c:v>
                </c:pt>
                <c:pt idx="11">
                  <c:v>0.88818819133192273</c:v>
                </c:pt>
                <c:pt idx="12">
                  <c:v>0.87130829915587749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B5-43F7-B78C-E77A0CC4195E}"/>
            </c:ext>
          </c:extLst>
        </c:ser>
        <c:ser>
          <c:idx val="3"/>
          <c:order val="3"/>
          <c:tx>
            <c:v>450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actuaciones!$AS$45:$AS$57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actuaciones!$AW$45:$AW$57</c:f>
              <c:numCache>
                <c:formatCode>General</c:formatCode>
                <c:ptCount val="13"/>
                <c:pt idx="0">
                  <c:v>0.53639526427944972</c:v>
                </c:pt>
                <c:pt idx="1">
                  <c:v>0.59285654213370031</c:v>
                </c:pt>
                <c:pt idx="2">
                  <c:v>0.64238201948658802</c:v>
                </c:pt>
                <c:pt idx="3">
                  <c:v>0.68579331193600523</c:v>
                </c:pt>
                <c:pt idx="4">
                  <c:v>0.72382960270387675</c:v>
                </c:pt>
                <c:pt idx="5">
                  <c:v>0.75713882974400093</c:v>
                </c:pt>
                <c:pt idx="6">
                  <c:v>0.78627101476593697</c:v>
                </c:pt>
                <c:pt idx="7">
                  <c:v>0.81167105913086568</c:v>
                </c:pt>
                <c:pt idx="8">
                  <c:v>0.83366668359502394</c:v>
                </c:pt>
                <c:pt idx="9">
                  <c:v>0.85244445457221341</c:v>
                </c:pt>
                <c:pt idx="10">
                  <c:v>0.86799921590233176</c:v>
                </c:pt>
                <c:pt idx="11">
                  <c:v>0.88002312063149946</c:v>
                </c:pt>
                <c:pt idx="12">
                  <c:v>0.88764360298716982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B5-43F7-B78C-E77A0CC4195E}"/>
            </c:ext>
          </c:extLst>
        </c:ser>
        <c:ser>
          <c:idx val="4"/>
          <c:order val="4"/>
          <c:tx>
            <c:v>500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actuaciones!$AS$45:$AS$57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actuaciones!$AX$45:$AX$57</c:f>
              <c:numCache>
                <c:formatCode>General</c:formatCode>
                <c:ptCount val="13"/>
                <c:pt idx="0">
                  <c:v>0.49882100182814681</c:v>
                </c:pt>
                <c:pt idx="1">
                  <c:v>0.55411375114073691</c:v>
                </c:pt>
                <c:pt idx="2">
                  <c:v>0.60328911332214996</c:v>
                </c:pt>
                <c:pt idx="3">
                  <c:v>0.64698540743409338</c:v>
                </c:pt>
                <c:pt idx="4">
                  <c:v>0.68579331136241206</c:v>
                </c:pt>
                <c:pt idx="5">
                  <c:v>0.7202486404017644</c:v>
                </c:pt>
                <c:pt idx="6">
                  <c:v>0.7508272846177021</c:v>
                </c:pt>
                <c:pt idx="7">
                  <c:v>0.77794135021877275</c:v>
                </c:pt>
                <c:pt idx="8">
                  <c:v>0.80193510012114122</c:v>
                </c:pt>
                <c:pt idx="9">
                  <c:v>0.82307904274577171</c:v>
                </c:pt>
                <c:pt idx="10">
                  <c:v>0.84155913348889322</c:v>
                </c:pt>
                <c:pt idx="11">
                  <c:v>0.85745599568204545</c:v>
                </c:pt>
                <c:pt idx="12">
                  <c:v>0.8707037526140099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B5-43F7-B78C-E77A0CC4195E}"/>
            </c:ext>
          </c:extLst>
        </c:ser>
        <c:ser>
          <c:idx val="5"/>
          <c:order val="5"/>
          <c:tx>
            <c:v>550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actuaciones!$AS$45:$AS$57</c:f>
              <c:numCache>
                <c:formatCode>General</c:formatCode>
                <c:ptCount val="13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  <c:pt idx="9">
                  <c:v>75</c:v>
                </c:pt>
                <c:pt idx="10">
                  <c:v>80</c:v>
                </c:pt>
                <c:pt idx="11">
                  <c:v>85</c:v>
                </c:pt>
                <c:pt idx="12">
                  <c:v>90</c:v>
                </c:pt>
              </c:numCache>
            </c:numRef>
          </c:xVal>
          <c:yVal>
            <c:numRef>
              <c:f>actuaciones!$AY$45:$AY$57</c:f>
              <c:numCache>
                <c:formatCode>General</c:formatCode>
                <c:ptCount val="13"/>
                <c:pt idx="0">
                  <c:v>0.46584235334393209</c:v>
                </c:pt>
                <c:pt idx="1">
                  <c:v>0.51967723865922522</c:v>
                </c:pt>
                <c:pt idx="2">
                  <c:v>0.56810426133855307</c:v>
                </c:pt>
                <c:pt idx="3">
                  <c:v>0.61162343802749486</c:v>
                </c:pt>
                <c:pt idx="4">
                  <c:v>0.65070693603889107</c:v>
                </c:pt>
                <c:pt idx="5">
                  <c:v>0.68579330996944587</c:v>
                </c:pt>
                <c:pt idx="6">
                  <c:v>0.71728323231897717</c:v>
                </c:pt>
                <c:pt idx="7">
                  <c:v>0.74553642858090352</c:v>
                </c:pt>
                <c:pt idx="8">
                  <c:v>0.77086926093727215</c:v>
                </c:pt>
                <c:pt idx="9">
                  <c:v>0.79355237860873529</c:v>
                </c:pt>
                <c:pt idx="10">
                  <c:v>0.81380742307691811</c:v>
                </c:pt>
                <c:pt idx="11">
                  <c:v>0.83180168620595085</c:v>
                </c:pt>
                <c:pt idx="12">
                  <c:v>0.8476384155834793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B5-43F7-B78C-E77A0CC41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569264"/>
        <c:axId val="293665392"/>
      </c:scatterChart>
      <c:valAx>
        <c:axId val="33456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3665392"/>
        <c:crosses val="autoZero"/>
        <c:crossBetween val="midCat"/>
      </c:valAx>
      <c:valAx>
        <c:axId val="29366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3456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beta</a:t>
            </a:r>
            <a:r>
              <a:rPr lang="es-ES" baseline="0"/>
              <a:t> - r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8.1008755185433476E-2"/>
                  <c:y val="7.936230529232052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diseño!$C$5:$C$22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diseño!$F$5:$F$22</c:f>
              <c:numCache>
                <c:formatCode>General</c:formatCode>
                <c:ptCount val="18"/>
                <c:pt idx="0">
                  <c:v>86.684548296080237</c:v>
                </c:pt>
                <c:pt idx="1">
                  <c:v>79.921761827345108</c:v>
                </c:pt>
                <c:pt idx="2">
                  <c:v>73.800227600059145</c:v>
                </c:pt>
                <c:pt idx="3">
                  <c:v>68.340135897375603</c:v>
                </c:pt>
                <c:pt idx="4">
                  <c:v>63.513442899404566</c:v>
                </c:pt>
                <c:pt idx="5">
                  <c:v>59.2657115679405</c:v>
                </c:pt>
                <c:pt idx="6">
                  <c:v>55.532050843600075</c:v>
                </c:pt>
                <c:pt idx="7">
                  <c:v>52.246916450008293</c:v>
                </c:pt>
                <c:pt idx="8">
                  <c:v>49.349272608727567</c:v>
                </c:pt>
                <c:pt idx="9">
                  <c:v>46.784785843129967</c:v>
                </c:pt>
                <c:pt idx="10">
                  <c:v>44.506331059225197</c:v>
                </c:pt>
                <c:pt idx="11">
                  <c:v>42.473640612816538</c:v>
                </c:pt>
                <c:pt idx="12">
                  <c:v>40.652583194960357</c:v>
                </c:pt>
                <c:pt idx="13">
                  <c:v>39.014335760189013</c:v>
                </c:pt>
                <c:pt idx="14">
                  <c:v>37.534579054327267</c:v>
                </c:pt>
                <c:pt idx="15">
                  <c:v>36.192773497750338</c:v>
                </c:pt>
                <c:pt idx="16">
                  <c:v>34.971533438931573</c:v>
                </c:pt>
                <c:pt idx="17">
                  <c:v>33.856098828737871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5-4669-8609-927B6EC10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557680"/>
        <c:axId val="1094590400"/>
      </c:scatterChart>
      <c:valAx>
        <c:axId val="123555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4590400"/>
        <c:crosses val="autoZero"/>
        <c:crossBetween val="midCat"/>
      </c:valAx>
      <c:valAx>
        <c:axId val="109459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beta(º)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3555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cuerda,</a:t>
            </a:r>
            <a:r>
              <a:rPr lang="es-ES" baseline="0"/>
              <a:t> c - r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4.484219553258377E-2"/>
                  <c:y val="4.416336996353837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diseño!$C$5:$C$22</c:f>
              <c:numCache>
                <c:formatCode>General</c:formatCode>
                <c:ptCount val="18"/>
                <c:pt idx="0">
                  <c:v>5.6999999999999995E-2</c:v>
                </c:pt>
                <c:pt idx="1">
                  <c:v>7.6000000000000012E-2</c:v>
                </c:pt>
                <c:pt idx="2">
                  <c:v>9.5000000000000001E-2</c:v>
                </c:pt>
                <c:pt idx="3">
                  <c:v>0.11399999999999999</c:v>
                </c:pt>
                <c:pt idx="4">
                  <c:v>0.13299999999999998</c:v>
                </c:pt>
                <c:pt idx="5">
                  <c:v>0.15200000000000002</c:v>
                </c:pt>
                <c:pt idx="6">
                  <c:v>0.17100000000000001</c:v>
                </c:pt>
                <c:pt idx="7">
                  <c:v>0.19</c:v>
                </c:pt>
                <c:pt idx="8">
                  <c:v>0.20900000000000002</c:v>
                </c:pt>
                <c:pt idx="9">
                  <c:v>0.22799999999999998</c:v>
                </c:pt>
                <c:pt idx="10">
                  <c:v>0.24700000000000003</c:v>
                </c:pt>
                <c:pt idx="11">
                  <c:v>0.26599999999999996</c:v>
                </c:pt>
                <c:pt idx="12">
                  <c:v>0.28500000000000003</c:v>
                </c:pt>
                <c:pt idx="13">
                  <c:v>0.30400000000000005</c:v>
                </c:pt>
                <c:pt idx="14">
                  <c:v>0.32300000000000001</c:v>
                </c:pt>
                <c:pt idx="15">
                  <c:v>0.34200000000000003</c:v>
                </c:pt>
                <c:pt idx="16">
                  <c:v>0.36099999999999999</c:v>
                </c:pt>
                <c:pt idx="17">
                  <c:v>0.38</c:v>
                </c:pt>
              </c:numCache>
            </c:numRef>
          </c:xVal>
          <c:yVal>
            <c:numRef>
              <c:f>diseño!$D$5:$D$22</c:f>
              <c:numCache>
                <c:formatCode>General</c:formatCode>
                <c:ptCount val="18"/>
                <c:pt idx="0">
                  <c:v>4.9654264796525155E-2</c:v>
                </c:pt>
                <c:pt idx="1">
                  <c:v>5.0777792996831994E-2</c:v>
                </c:pt>
                <c:pt idx="2">
                  <c:v>5.1919710085110135E-2</c:v>
                </c:pt>
                <c:pt idx="3">
                  <c:v>5.2197256065484705E-2</c:v>
                </c:pt>
                <c:pt idx="4">
                  <c:v>5.1649685195730648E-2</c:v>
                </c:pt>
                <c:pt idx="5">
                  <c:v>5.0492902403591257E-2</c:v>
                </c:pt>
                <c:pt idx="6">
                  <c:v>4.8942260386678225E-2</c:v>
                </c:pt>
                <c:pt idx="7">
                  <c:v>4.716819831992896E-2</c:v>
                </c:pt>
                <c:pt idx="8">
                  <c:v>4.5292776484588293E-2</c:v>
                </c:pt>
                <c:pt idx="9">
                  <c:v>4.3398175693652397E-2</c:v>
                </c:pt>
                <c:pt idx="10">
                  <c:v>4.1536997766303471E-2</c:v>
                </c:pt>
                <c:pt idx="11">
                  <c:v>3.9741101538114783E-2</c:v>
                </c:pt>
                <c:pt idx="12">
                  <c:v>3.8028306960020006E-2</c:v>
                </c:pt>
                <c:pt idx="13">
                  <c:v>3.6407184298144685E-2</c:v>
                </c:pt>
                <c:pt idx="14">
                  <c:v>3.4880360465844432E-2</c:v>
                </c:pt>
                <c:pt idx="15">
                  <c:v>3.3446752986061229E-2</c:v>
                </c:pt>
                <c:pt idx="16">
                  <c:v>3.2103056371663045E-2</c:v>
                </c:pt>
                <c:pt idx="17">
                  <c:v>3.0844718295575342E-2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E-4C73-AD53-2E879774F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29776"/>
        <c:axId val="2081702320"/>
      </c:scatterChart>
      <c:valAx>
        <c:axId val="210852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81702320"/>
        <c:crosses val="autoZero"/>
        <c:crossBetween val="midCat"/>
      </c:valAx>
      <c:valAx>
        <c:axId val="208170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c(m)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0852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375047</xdr:colOff>
      <xdr:row>34</xdr:row>
      <xdr:rowOff>15477</xdr:rowOff>
    </xdr:from>
    <xdr:to>
      <xdr:col>17</xdr:col>
      <xdr:colOff>375047</xdr:colOff>
      <xdr:row>48</xdr:row>
      <xdr:rowOff>91677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2991928-514B-4C97-A07A-F485D47951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714376</xdr:colOff>
      <xdr:row>32</xdr:row>
      <xdr:rowOff>170256</xdr:rowOff>
    </xdr:from>
    <xdr:to>
      <xdr:col>10</xdr:col>
      <xdr:colOff>730250</xdr:colOff>
      <xdr:row>70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1459E4C-FAED-47D1-AA85-93E6998BD1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351234</xdr:colOff>
      <xdr:row>49</xdr:row>
      <xdr:rowOff>82947</xdr:rowOff>
    </xdr:from>
    <xdr:to>
      <xdr:col>17</xdr:col>
      <xdr:colOff>351234</xdr:colOff>
      <xdr:row>63</xdr:row>
      <xdr:rowOff>159147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F4652D0-DB23-4B18-80DF-9231C6B16B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509984</xdr:colOff>
      <xdr:row>49</xdr:row>
      <xdr:rowOff>126604</xdr:rowOff>
    </xdr:from>
    <xdr:to>
      <xdr:col>23</xdr:col>
      <xdr:colOff>509984</xdr:colOff>
      <xdr:row>64</xdr:row>
      <xdr:rowOff>12304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B77EBA6-3114-48D4-922D-D436809B6C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609204</xdr:colOff>
      <xdr:row>34</xdr:row>
      <xdr:rowOff>31352</xdr:rowOff>
    </xdr:from>
    <xdr:to>
      <xdr:col>23</xdr:col>
      <xdr:colOff>609204</xdr:colOff>
      <xdr:row>48</xdr:row>
      <xdr:rowOff>107552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1BC5B2A-D848-4D69-BDA4-C32012464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444500</xdr:colOff>
      <xdr:row>4</xdr:row>
      <xdr:rowOff>33337</xdr:rowOff>
    </xdr:from>
    <xdr:to>
      <xdr:col>42</xdr:col>
      <xdr:colOff>444500</xdr:colOff>
      <xdr:row>18</xdr:row>
      <xdr:rowOff>109537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E8A8A64-73E0-4574-80F8-36318839D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51</xdr:col>
      <xdr:colOff>539751</xdr:colOff>
      <xdr:row>5</xdr:row>
      <xdr:rowOff>25399</xdr:rowOff>
    </xdr:from>
    <xdr:to>
      <xdr:col>57</xdr:col>
      <xdr:colOff>539751</xdr:colOff>
      <xdr:row>19</xdr:row>
      <xdr:rowOff>101599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11FE3A2-CADD-4199-8D61-C3FDCAA56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709084</xdr:colOff>
      <xdr:row>24</xdr:row>
      <xdr:rowOff>25400</xdr:rowOff>
    </xdr:from>
    <xdr:to>
      <xdr:col>42</xdr:col>
      <xdr:colOff>709084</xdr:colOff>
      <xdr:row>38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DBE9033-7F40-472A-9F29-7A7F2232A6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51</xdr:col>
      <xdr:colOff>684609</xdr:colOff>
      <xdr:row>24</xdr:row>
      <xdr:rowOff>51196</xdr:rowOff>
    </xdr:from>
    <xdr:to>
      <xdr:col>57</xdr:col>
      <xdr:colOff>684609</xdr:colOff>
      <xdr:row>38</xdr:row>
      <xdr:rowOff>127396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1315ED4-473B-4490-A1C3-E54489399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37</xdr:col>
      <xdr:colOff>101202</xdr:colOff>
      <xdr:row>43</xdr:row>
      <xdr:rowOff>39290</xdr:rowOff>
    </xdr:from>
    <xdr:to>
      <xdr:col>43</xdr:col>
      <xdr:colOff>101202</xdr:colOff>
      <xdr:row>57</xdr:row>
      <xdr:rowOff>115490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DA1E3594-FEAD-4C46-B851-ADC427FF11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52</xdr:col>
      <xdr:colOff>5952</xdr:colOff>
      <xdr:row>43</xdr:row>
      <xdr:rowOff>15477</xdr:rowOff>
    </xdr:from>
    <xdr:to>
      <xdr:col>58</xdr:col>
      <xdr:colOff>5952</xdr:colOff>
      <xdr:row>57</xdr:row>
      <xdr:rowOff>91677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0BA3CD7-E6FD-4A04-BA84-EB1A97B194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306915</xdr:colOff>
      <xdr:row>22</xdr:row>
      <xdr:rowOff>141816</xdr:rowOff>
    </xdr:from>
    <xdr:to>
      <xdr:col>14</xdr:col>
      <xdr:colOff>232832</xdr:colOff>
      <xdr:row>45</xdr:row>
      <xdr:rowOff>137583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2B2CB9-6646-4559-BD73-AC631168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405190</xdr:colOff>
      <xdr:row>22</xdr:row>
      <xdr:rowOff>153911</xdr:rowOff>
    </xdr:from>
    <xdr:to>
      <xdr:col>22</xdr:col>
      <xdr:colOff>748393</xdr:colOff>
      <xdr:row>45</xdr:row>
      <xdr:rowOff>122464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7B28F54-A19E-4FF7-8295-EE3E0B49B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4DD2C-5E5E-4697-98D0-40FE88DB57E9}">
  <sheetPr codeName="Hoja1"/>
  <dimension ref="B4:BG57"/>
  <sheetViews>
    <sheetView tabSelected="1" zoomScale="70" zoomScaleNormal="70" workbookViewId="0">
      <selection activeCell="D79" sqref="D79"/>
    </sheetView>
  </sheetViews>
  <sheetFormatPr baseColWidth="10" defaultRowHeight="15" x14ac:dyDescent="0.25"/>
  <sheetData>
    <row r="4" spans="2:59" x14ac:dyDescent="0.25">
      <c r="B4" t="s">
        <v>0</v>
      </c>
      <c r="C4" t="s">
        <v>14</v>
      </c>
      <c r="D4" t="s">
        <v>15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L4" t="s">
        <v>12</v>
      </c>
      <c r="M4" t="s">
        <v>13</v>
      </c>
      <c r="O4" t="s">
        <v>6</v>
      </c>
      <c r="P4" t="s">
        <v>7</v>
      </c>
      <c r="Q4" t="s">
        <v>10</v>
      </c>
      <c r="R4" t="s">
        <v>11</v>
      </c>
      <c r="T4" t="s">
        <v>8</v>
      </c>
      <c r="U4" t="s">
        <v>9</v>
      </c>
      <c r="AD4" t="s">
        <v>22</v>
      </c>
      <c r="AS4" t="s">
        <v>23</v>
      </c>
    </row>
    <row r="5" spans="2:59" x14ac:dyDescent="0.25">
      <c r="B5">
        <v>0.15</v>
      </c>
      <c r="C5">
        <f>B5 * $C$26</f>
        <v>5.6999999999999995E-2</v>
      </c>
      <c r="D5">
        <f xml:space="preserve"> (-0.002763788164) + (0.874373544) * C5 +(-5.158582109) * C5^2 + (9.25264851) * C5^3 +(13.17287891) * C5^4 + (-67.58132409) * C5^5 + (66.02214449) * C5^6</f>
        <v>3.2129450409407539E-2</v>
      </c>
      <c r="F5">
        <f xml:space="preserve"> ((1.930531704) + (-7.873227897) * C5 +(5.60261545) * C5^2 + (103.4023062) * C5^3 +(-478.8829713) * C5^4 + (885.5682274) * C5^5 + (-618.4589464) * C5^6) * 180/PI()</f>
        <v>86.778270193392075</v>
      </c>
      <c r="G5">
        <f xml:space="preserve"> ATAN( $C$28 / ($C$29 * C5)) * 180/PI()</f>
        <v>67.846655262222001</v>
      </c>
      <c r="H5">
        <f xml:space="preserve"> ATAN( T5 / L5 ) * 180/PI()</f>
        <v>6.8973837340727577</v>
      </c>
      <c r="I5">
        <f xml:space="preserve"> F5 - G5 - H5</f>
        <v>12.034231197097316</v>
      </c>
      <c r="J5">
        <f xml:space="preserve"> G5 + H5</f>
        <v>74.744038996294762</v>
      </c>
      <c r="L5">
        <f xml:space="preserve"> ($C$28^2 + ($C$29 * C5)^2)^0.5</f>
        <v>75.57942841805567</v>
      </c>
      <c r="M5">
        <f xml:space="preserve"> ( L5^2 + T5^2 )^0.5</f>
        <v>76.130397301489708</v>
      </c>
      <c r="O5">
        <f xml:space="preserve"> 6.28 * (PI()/180 * I5)</f>
        <v>1.3190320920673599</v>
      </c>
      <c r="P5">
        <f>0.01 + 0.3 * (PI()/180 * I5)^2</f>
        <v>2.3234657034034815E-2</v>
      </c>
      <c r="Q5">
        <f xml:space="preserve"> 0.5 * $C$27 * $C$31 * M5^2 * D5 * (O5 * COS(PI()/180 * J5) - P5 * SIN(PI()/180 * J5))</f>
        <v>182.5081676091522</v>
      </c>
      <c r="R5">
        <f xml:space="preserve"> 0.5 * $C$27 * $C$31 * M5^2 * D5 * (O5 * SIN(PI()/180 * J5) + P5 * COS(PI()/180 * J5)) * C5</f>
        <v>40.97135316651719</v>
      </c>
      <c r="T5">
        <v>9.1426141383452109</v>
      </c>
      <c r="U5">
        <f xml:space="preserve"> 8 * PI() * C5 * T5 * COS(PI()/180 * G5) * ($C$28 + T5 * COS(PI()/180 *G5)) - $C$27 * M5^2 * D5 * (O5 * COS(PI()/180 * J5) - P5 * SIN(PI()/180 * J5))</f>
        <v>-1.3855189990863437E-6</v>
      </c>
      <c r="AD5" t="s">
        <v>16</v>
      </c>
      <c r="AE5" t="s">
        <v>21</v>
      </c>
      <c r="AS5" t="s">
        <v>16</v>
      </c>
      <c r="AT5" t="s">
        <v>21</v>
      </c>
    </row>
    <row r="6" spans="2:59" x14ac:dyDescent="0.25">
      <c r="B6">
        <v>0.2</v>
      </c>
      <c r="C6">
        <f t="shared" ref="C6:C22" si="0">B6 * $C$26</f>
        <v>7.6000000000000012E-2</v>
      </c>
      <c r="D6">
        <f t="shared" ref="D6:D22" si="1" xml:space="preserve"> (-0.002763788164) + (0.874373544) * C6 +(-5.158582109) * C6^2 + (9.25264851) * C6^3 +(13.17287891) * C6^4 + (-67.58132409) * C6^5 + (66.02214449) * C6^6</f>
        <v>3.823516575571765E-2</v>
      </c>
      <c r="F6">
        <f t="shared" ref="F6:F22" si="2" xml:space="preserve"> ((1.930531704) + (-7.873227897) * C6 +(5.60261545) * C6^2 + (103.4023062) * C6^3 +(-478.8829713) * C6^4 + (885.5682274) * C6^5 + (-618.4589464) * C6^6) * 180/PI()</f>
        <v>79.988795557311093</v>
      </c>
      <c r="G6">
        <f t="shared" ref="G6:G22" si="3" xml:space="preserve"> ATAN( $C$28 / ($C$29 * C6)) * 180/PI()</f>
        <v>61.504361381755018</v>
      </c>
      <c r="H6">
        <f t="shared" ref="H6:H22" si="4" xml:space="preserve"> ATAN( T6 / L6 ) * 180/PI()</f>
        <v>6.9230542730056825</v>
      </c>
      <c r="I6">
        <f t="shared" ref="I6:I22" si="5" xml:space="preserve"> F6 - G6 - H6</f>
        <v>11.561379902550392</v>
      </c>
      <c r="J6">
        <f t="shared" ref="J6:J22" si="6" xml:space="preserve"> G6 + H6</f>
        <v>68.427415654760694</v>
      </c>
      <c r="L6">
        <f t="shared" ref="L6:L22" si="7" xml:space="preserve"> ($C$28^2 + ($C$29 * C6)^2)^0.5</f>
        <v>79.649231006959511</v>
      </c>
      <c r="M6">
        <f t="shared" ref="M6:M22" si="8" xml:space="preserve"> ( L6^2 + T6^2 )^0.5</f>
        <v>80.234225020042402</v>
      </c>
      <c r="O6">
        <f t="shared" ref="O6:O22" si="9" xml:space="preserve"> 6.28 * (PI()/180 * I6)</f>
        <v>1.2672044329449865</v>
      </c>
      <c r="P6">
        <f t="shared" ref="P6:P22" si="10">0.01 + 0.3 * (PI()/180 * I6)^2</f>
        <v>2.2215052397222691E-2</v>
      </c>
      <c r="Q6">
        <f t="shared" ref="Q6:Q22" si="11" xml:space="preserve"> 0.5 * $C$27 * $C$31 * M6^2 * D6 * (O6 * COS(PI()/180 * J6) - P6 * SIN(PI()/180 * J6))</f>
        <v>330.8506204048465</v>
      </c>
      <c r="R6">
        <f t="shared" ref="R6:R22" si="12" xml:space="preserve"> 0.5 * $C$27 * $C$31 * M6^2 * D6 * (O6 * SIN(PI()/180 * J6) + P6 * COS(PI()/180 * J6)) * C6</f>
        <v>67.008976768035453</v>
      </c>
      <c r="T6">
        <v>9.6711356399751391</v>
      </c>
      <c r="U6">
        <f t="shared" ref="U6:U22" si="13" xml:space="preserve"> 8 * PI() * C6 * T6 * COS(PI()/180 * G6) * ($C$28 + T6 * COS(PI()/180 *G6)) - $C$27 * M6^2 * D6 * (O6 * COS(PI()/180 * J6) - P6 * SIN(PI()/180 * J6))</f>
        <v>-2.2933951413506293E-6</v>
      </c>
      <c r="AE6">
        <v>300</v>
      </c>
      <c r="AF6">
        <v>350</v>
      </c>
      <c r="AG6">
        <v>400</v>
      </c>
      <c r="AH6">
        <v>450</v>
      </c>
      <c r="AI6">
        <v>500</v>
      </c>
      <c r="AJ6">
        <v>550</v>
      </c>
      <c r="AT6">
        <v>300</v>
      </c>
      <c r="AU6">
        <v>350</v>
      </c>
      <c r="AV6">
        <v>400</v>
      </c>
      <c r="AW6">
        <v>450</v>
      </c>
      <c r="AX6">
        <v>500</v>
      </c>
      <c r="AY6">
        <v>550</v>
      </c>
    </row>
    <row r="7" spans="2:59" x14ac:dyDescent="0.25">
      <c r="B7">
        <v>0.25</v>
      </c>
      <c r="C7">
        <f t="shared" si="0"/>
        <v>9.5000000000000001E-2</v>
      </c>
      <c r="D7">
        <f t="shared" si="1"/>
        <v>4.2277024658702825E-2</v>
      </c>
      <c r="F7">
        <f t="shared" si="2"/>
        <v>73.864895445264438</v>
      </c>
      <c r="G7">
        <f t="shared" si="3"/>
        <v>55.840305454330569</v>
      </c>
      <c r="H7">
        <f t="shared" si="4"/>
        <v>6.7385289399017454</v>
      </c>
      <c r="I7">
        <f t="shared" si="5"/>
        <v>11.286061051032124</v>
      </c>
      <c r="J7">
        <f t="shared" si="6"/>
        <v>62.578834394232317</v>
      </c>
      <c r="L7">
        <f t="shared" si="7"/>
        <v>84.594621578443153</v>
      </c>
      <c r="M7">
        <f t="shared" si="8"/>
        <v>85.1830688629082</v>
      </c>
      <c r="O7">
        <f t="shared" si="9"/>
        <v>1.2370276485076628</v>
      </c>
      <c r="P7">
        <f t="shared" si="10"/>
        <v>2.1640209058981077E-2</v>
      </c>
      <c r="Q7">
        <f t="shared" si="11"/>
        <v>509.77641889868386</v>
      </c>
      <c r="R7">
        <f t="shared" si="12"/>
        <v>97.47813210346942</v>
      </c>
      <c r="T7">
        <v>9.995259921730888</v>
      </c>
      <c r="U7">
        <f t="shared" si="13"/>
        <v>-4.792938170794514E-7</v>
      </c>
      <c r="AD7">
        <v>30</v>
      </c>
      <c r="AE7">
        <v>292.77208935818504</v>
      </c>
      <c r="AF7">
        <v>428.45920106168057</v>
      </c>
      <c r="AG7">
        <v>587.54419773926463</v>
      </c>
      <c r="AH7">
        <v>769.99849672559651</v>
      </c>
      <c r="AI7">
        <v>975.80738539298716</v>
      </c>
      <c r="AJ7">
        <v>1204.9631054620438</v>
      </c>
      <c r="AS7">
        <v>30</v>
      </c>
      <c r="AT7">
        <v>42.691009329233964</v>
      </c>
      <c r="AU7">
        <v>58.396634325850165</v>
      </c>
      <c r="AV7">
        <v>76.050912167915314</v>
      </c>
      <c r="AW7">
        <v>95.700384648243883</v>
      </c>
      <c r="AX7">
        <v>117.37365289152413</v>
      </c>
      <c r="AY7">
        <v>141.08906119449514</v>
      </c>
    </row>
    <row r="8" spans="2:59" x14ac:dyDescent="0.25">
      <c r="B8">
        <v>0.3</v>
      </c>
      <c r="C8">
        <f t="shared" si="0"/>
        <v>0.11399999999999999</v>
      </c>
      <c r="D8">
        <f t="shared" si="1"/>
        <v>4.4650611545406102E-2</v>
      </c>
      <c r="F8">
        <f t="shared" si="2"/>
        <v>68.399834154565795</v>
      </c>
      <c r="G8">
        <f t="shared" si="3"/>
        <v>50.84456587738687</v>
      </c>
      <c r="H8">
        <f t="shared" si="4"/>
        <v>6.4580619006578646</v>
      </c>
      <c r="I8">
        <f t="shared" si="5"/>
        <v>11.097206376521061</v>
      </c>
      <c r="J8">
        <f t="shared" si="6"/>
        <v>57.302627778044737</v>
      </c>
      <c r="L8">
        <f t="shared" si="7"/>
        <v>90.271811768680038</v>
      </c>
      <c r="M8">
        <f t="shared" si="8"/>
        <v>90.848294207561295</v>
      </c>
      <c r="O8">
        <f t="shared" si="9"/>
        <v>1.2163279151938211</v>
      </c>
      <c r="P8">
        <f t="shared" si="10"/>
        <v>2.1253906831512542E-2</v>
      </c>
      <c r="Q8">
        <f t="shared" si="11"/>
        <v>711.06877085192923</v>
      </c>
      <c r="R8">
        <f t="shared" si="12"/>
        <v>131.26927740352275</v>
      </c>
      <c r="T8">
        <v>10.218246445629278</v>
      </c>
      <c r="U8">
        <f t="shared" si="13"/>
        <v>-3.5502125683706254E-9</v>
      </c>
      <c r="AD8">
        <v>35</v>
      </c>
      <c r="AE8">
        <v>265.59847249634072</v>
      </c>
      <c r="AF8">
        <v>398.49534238118434</v>
      </c>
      <c r="AG8">
        <v>554.84588720538579</v>
      </c>
      <c r="AH8">
        <v>734.59957509746982</v>
      </c>
      <c r="AI8">
        <v>937.7285184119188</v>
      </c>
      <c r="AJ8">
        <v>1164.2170311620462</v>
      </c>
      <c r="AS8">
        <v>35</v>
      </c>
      <c r="AT8">
        <v>41.814958123308287</v>
      </c>
      <c r="AU8">
        <v>58.107207167938299</v>
      </c>
      <c r="AV8">
        <v>76.26995576029185</v>
      </c>
      <c r="AW8">
        <v>96.373268146707659</v>
      </c>
      <c r="AX8">
        <v>118.46122958273678</v>
      </c>
      <c r="AY8">
        <v>142.56260008196628</v>
      </c>
    </row>
    <row r="9" spans="2:59" x14ac:dyDescent="0.25">
      <c r="B9">
        <v>0.35</v>
      </c>
      <c r="C9">
        <f t="shared" si="0"/>
        <v>0.13299999999999998</v>
      </c>
      <c r="D9">
        <f t="shared" si="1"/>
        <v>4.5720636237501791E-2</v>
      </c>
      <c r="F9">
        <f t="shared" si="2"/>
        <v>63.561235751583304</v>
      </c>
      <c r="G9">
        <f t="shared" si="3"/>
        <v>46.468800714385829</v>
      </c>
      <c r="H9">
        <f t="shared" si="4"/>
        <v>6.1358715739192577</v>
      </c>
      <c r="I9">
        <f t="shared" si="5"/>
        <v>10.956563463278219</v>
      </c>
      <c r="J9">
        <f t="shared" si="6"/>
        <v>52.604672288305089</v>
      </c>
      <c r="L9">
        <f t="shared" si="7"/>
        <v>96.551799568936048</v>
      </c>
      <c r="M9">
        <f t="shared" si="8"/>
        <v>97.108110593829309</v>
      </c>
      <c r="O9">
        <f t="shared" si="9"/>
        <v>1.2009125128261235</v>
      </c>
      <c r="P9">
        <f t="shared" si="10"/>
        <v>2.0970456687865284E-2</v>
      </c>
      <c r="Q9">
        <f t="shared" si="11"/>
        <v>927.55538941585189</v>
      </c>
      <c r="R9">
        <f t="shared" si="12"/>
        <v>167.35907070172954</v>
      </c>
      <c r="T9">
        <v>10.379554089814448</v>
      </c>
      <c r="U9">
        <f t="shared" si="13"/>
        <v>-2.5044528229045682E-8</v>
      </c>
      <c r="AD9">
        <v>40</v>
      </c>
      <c r="AE9">
        <v>236.8925670384688</v>
      </c>
      <c r="AF9">
        <v>366.9228797192672</v>
      </c>
      <c r="AG9">
        <v>520.48370259682702</v>
      </c>
      <c r="AH9">
        <v>697.49740930918597</v>
      </c>
      <c r="AI9">
        <v>897.91856324731725</v>
      </c>
      <c r="AJ9">
        <v>1121.7202392685863</v>
      </c>
      <c r="AS9">
        <v>40</v>
      </c>
      <c r="AT9">
        <v>40.171486654279775</v>
      </c>
      <c r="AU9">
        <v>57.146191654021152</v>
      </c>
      <c r="AV9">
        <v>75.895126809266245</v>
      </c>
      <c r="AW9">
        <v>96.515418918363025</v>
      </c>
      <c r="AX9">
        <v>119.06975192079599</v>
      </c>
      <c r="AY9">
        <v>143.5997920043271</v>
      </c>
    </row>
    <row r="10" spans="2:59" x14ac:dyDescent="0.25">
      <c r="B10">
        <v>0.4</v>
      </c>
      <c r="C10">
        <f t="shared" si="0"/>
        <v>0.15200000000000002</v>
      </c>
      <c r="D10">
        <f t="shared" si="1"/>
        <v>4.5813153422429878E-2</v>
      </c>
      <c r="F10">
        <f t="shared" si="2"/>
        <v>59.299558725216322</v>
      </c>
      <c r="G10">
        <f t="shared" si="3"/>
        <v>42.646703133891691</v>
      </c>
      <c r="H10">
        <f t="shared" si="4"/>
        <v>5.8019280943743095</v>
      </c>
      <c r="I10">
        <f t="shared" si="5"/>
        <v>10.850927496950321</v>
      </c>
      <c r="J10">
        <f t="shared" si="6"/>
        <v>48.448631228266002</v>
      </c>
      <c r="L10">
        <f t="shared" si="7"/>
        <v>103.32473082471593</v>
      </c>
      <c r="M10">
        <f t="shared" si="8"/>
        <v>103.85675704890623</v>
      </c>
      <c r="O10">
        <f t="shared" si="9"/>
        <v>1.1893341055825721</v>
      </c>
      <c r="P10">
        <f t="shared" si="10"/>
        <v>2.0759936620414848E-2</v>
      </c>
      <c r="Q10">
        <f t="shared" si="11"/>
        <v>1153.6111148462869</v>
      </c>
      <c r="R10">
        <f t="shared" si="12"/>
        <v>204.93484635492516</v>
      </c>
      <c r="T10">
        <v>10.498856352742965</v>
      </c>
      <c r="U10">
        <f t="shared" si="13"/>
        <v>-1.141191205533687E-6</v>
      </c>
      <c r="AD10">
        <v>45</v>
      </c>
      <c r="AE10">
        <v>206.72809821548867</v>
      </c>
      <c r="AF10">
        <v>333.80734568613292</v>
      </c>
      <c r="AG10">
        <v>484.51287329030185</v>
      </c>
      <c r="AH10">
        <v>658.73718929649465</v>
      </c>
      <c r="AI10">
        <v>856.41383023658227</v>
      </c>
      <c r="AJ10">
        <v>1077.5015507040353</v>
      </c>
      <c r="AS10">
        <v>45</v>
      </c>
      <c r="AT10">
        <v>37.674649460230356</v>
      </c>
      <c r="AU10">
        <v>55.430659440442767</v>
      </c>
      <c r="AV10">
        <v>74.848585506626648</v>
      </c>
      <c r="AW10">
        <v>96.054770122629122</v>
      </c>
      <c r="AX10">
        <v>119.13289517143251</v>
      </c>
      <c r="AY10">
        <v>144.13969822541776</v>
      </c>
    </row>
    <row r="11" spans="2:59" x14ac:dyDescent="0.25">
      <c r="B11">
        <v>0.45</v>
      </c>
      <c r="C11">
        <f t="shared" si="0"/>
        <v>0.17100000000000001</v>
      </c>
      <c r="D11">
        <f t="shared" si="1"/>
        <v>4.5210018494896351E-2</v>
      </c>
      <c r="F11">
        <f t="shared" si="2"/>
        <v>55.555370346439382</v>
      </c>
      <c r="G11">
        <f t="shared" si="3"/>
        <v>39.307648116106613</v>
      </c>
      <c r="H11">
        <f t="shared" si="4"/>
        <v>5.4736337626301621</v>
      </c>
      <c r="I11">
        <f t="shared" si="5"/>
        <v>10.774088467702608</v>
      </c>
      <c r="J11">
        <f t="shared" si="6"/>
        <v>44.781281878736777</v>
      </c>
      <c r="L11">
        <f t="shared" si="7"/>
        <v>110.5</v>
      </c>
      <c r="M11">
        <f t="shared" si="8"/>
        <v>111.00616602185559</v>
      </c>
      <c r="O11">
        <f t="shared" si="9"/>
        <v>1.1809120349208846</v>
      </c>
      <c r="P11">
        <f t="shared" si="10"/>
        <v>2.0608086795262874E-2</v>
      </c>
      <c r="Q11">
        <f t="shared" si="11"/>
        <v>1385.2421380904664</v>
      </c>
      <c r="R11">
        <f t="shared" si="12"/>
        <v>243.42420659488465</v>
      </c>
      <c r="T11">
        <v>10.588621008977912</v>
      </c>
      <c r="U11">
        <f t="shared" si="13"/>
        <v>-7.1306990321318153E-6</v>
      </c>
      <c r="AD11">
        <v>50</v>
      </c>
      <c r="AE11">
        <v>175.17187585164459</v>
      </c>
      <c r="AF11">
        <v>299.21285147938949</v>
      </c>
      <c r="AG11">
        <v>446.99079920041561</v>
      </c>
      <c r="AH11">
        <v>618.36828341913349</v>
      </c>
      <c r="AI11">
        <v>813.25579028346283</v>
      </c>
      <c r="AJ11">
        <v>1031.5952246960262</v>
      </c>
      <c r="AS11">
        <v>50</v>
      </c>
      <c r="AT11">
        <v>34.248932909685742</v>
      </c>
      <c r="AU11">
        <v>52.885014833229846</v>
      </c>
      <c r="AV11">
        <v>73.057362920077665</v>
      </c>
      <c r="AW11">
        <v>94.922322587957353</v>
      </c>
      <c r="AX11">
        <v>118.58613620302464</v>
      </c>
      <c r="AY11">
        <v>144.12230586346485</v>
      </c>
    </row>
    <row r="12" spans="2:59" x14ac:dyDescent="0.25">
      <c r="B12">
        <v>0.5</v>
      </c>
      <c r="C12">
        <f t="shared" si="0"/>
        <v>0.19</v>
      </c>
      <c r="D12">
        <f t="shared" si="1"/>
        <v>4.4145579768739951E-2</v>
      </c>
      <c r="F12">
        <f t="shared" si="2"/>
        <v>52.265420733913317</v>
      </c>
      <c r="G12">
        <f t="shared" si="3"/>
        <v>36.384351815835885</v>
      </c>
      <c r="H12">
        <f t="shared" si="4"/>
        <v>5.1607235264587379</v>
      </c>
      <c r="I12">
        <f t="shared" si="5"/>
        <v>10.720345391618693</v>
      </c>
      <c r="J12">
        <f t="shared" si="6"/>
        <v>41.545075342294624</v>
      </c>
      <c r="L12">
        <f t="shared" si="7"/>
        <v>118.00423721205946</v>
      </c>
      <c r="M12">
        <f t="shared" si="8"/>
        <v>118.48453874544325</v>
      </c>
      <c r="O12">
        <f t="shared" si="9"/>
        <v>1.175021434938212</v>
      </c>
      <c r="P12">
        <f t="shared" si="10"/>
        <v>2.0502520684644317E-2</v>
      </c>
      <c r="Q12">
        <f t="shared" si="11"/>
        <v>1619.8411472437165</v>
      </c>
      <c r="R12">
        <f t="shared" si="12"/>
        <v>282.46118685213224</v>
      </c>
      <c r="T12">
        <v>10.657669619595179</v>
      </c>
      <c r="U12">
        <f t="shared" si="13"/>
        <v>-2.2943718249734957E-5</v>
      </c>
      <c r="AD12">
        <v>55</v>
      </c>
      <c r="AE12">
        <v>142.28179603804071</v>
      </c>
      <c r="AF12">
        <v>263.19918119971538</v>
      </c>
      <c r="AG12">
        <v>407.97411332239687</v>
      </c>
      <c r="AH12">
        <v>576.44176061189046</v>
      </c>
      <c r="AI12">
        <v>768.48904078710427</v>
      </c>
      <c r="AJ12">
        <v>984.03949997415748</v>
      </c>
      <c r="AS12">
        <v>55</v>
      </c>
      <c r="AT12">
        <v>29.828845025170736</v>
      </c>
      <c r="AU12">
        <v>49.44136098147515</v>
      </c>
      <c r="AV12">
        <v>70.454057389897926</v>
      </c>
      <c r="AW12">
        <v>93.052938504682118</v>
      </c>
      <c r="AX12">
        <v>117.36751691669613</v>
      </c>
      <c r="AY12">
        <v>143.48922418301214</v>
      </c>
    </row>
    <row r="13" spans="2:59" x14ac:dyDescent="0.25">
      <c r="B13">
        <v>0.55000000000000004</v>
      </c>
      <c r="C13">
        <f t="shared" si="0"/>
        <v>0.20900000000000002</v>
      </c>
      <c r="D13">
        <f t="shared" si="1"/>
        <v>4.2805607059165127E-2</v>
      </c>
      <c r="F13">
        <f t="shared" si="2"/>
        <v>49.367516625663995</v>
      </c>
      <c r="G13">
        <f t="shared" si="3"/>
        <v>33.816408621127479</v>
      </c>
      <c r="H13">
        <f t="shared" si="4"/>
        <v>4.8680229797393348</v>
      </c>
      <c r="I13">
        <f t="shared" si="5"/>
        <v>10.683085024797181</v>
      </c>
      <c r="J13">
        <f t="shared" si="6"/>
        <v>38.684431600866816</v>
      </c>
      <c r="L13">
        <f t="shared" si="7"/>
        <v>125.7785752821203</v>
      </c>
      <c r="M13">
        <f t="shared" si="8"/>
        <v>126.23392470875395</v>
      </c>
      <c r="O13">
        <f t="shared" si="9"/>
        <v>1.1709374499461644</v>
      </c>
      <c r="P13">
        <f t="shared" si="10"/>
        <v>2.042964099724958E-2</v>
      </c>
      <c r="Q13">
        <f t="shared" si="11"/>
        <v>1855.8169335994382</v>
      </c>
      <c r="R13">
        <f t="shared" si="12"/>
        <v>321.8292334888082</v>
      </c>
      <c r="T13">
        <v>10.712317553888894</v>
      </c>
      <c r="U13">
        <f t="shared" si="13"/>
        <v>-5.2775762014789507E-5</v>
      </c>
      <c r="AD13">
        <v>60</v>
      </c>
      <c r="AE13">
        <v>108.10614850181402</v>
      </c>
      <c r="AF13">
        <v>225.81995170820335</v>
      </c>
      <c r="AG13">
        <v>367.51660737106857</v>
      </c>
      <c r="AH13">
        <v>533.00827397348303</v>
      </c>
      <c r="AI13">
        <v>722.15952884491912</v>
      </c>
      <c r="AJ13">
        <v>934.87504779269898</v>
      </c>
      <c r="AS13">
        <v>60</v>
      </c>
      <c r="AT13">
        <v>24.358007879329318</v>
      </c>
      <c r="AU13">
        <v>45.039364871669314</v>
      </c>
      <c r="AV13">
        <v>66.977153088951923</v>
      </c>
      <c r="AW13">
        <v>90.385844738645304</v>
      </c>
      <c r="AX13">
        <v>115.41821299889818</v>
      </c>
      <c r="AY13">
        <v>142.18423665138613</v>
      </c>
    </row>
    <row r="14" spans="2:59" x14ac:dyDescent="0.25">
      <c r="B14">
        <v>0.6</v>
      </c>
      <c r="C14">
        <f t="shared" si="0"/>
        <v>0.22799999999999998</v>
      </c>
      <c r="D14">
        <f t="shared" si="1"/>
        <v>4.1328456635340863E-2</v>
      </c>
      <c r="F14">
        <f t="shared" si="2"/>
        <v>46.804194856828161</v>
      </c>
      <c r="G14">
        <f t="shared" si="3"/>
        <v>31.55138494831348</v>
      </c>
      <c r="H14">
        <f t="shared" si="4"/>
        <v>4.5972757820876033</v>
      </c>
      <c r="I14">
        <f t="shared" si="5"/>
        <v>10.655534126427078</v>
      </c>
      <c r="J14">
        <f t="shared" si="6"/>
        <v>36.148660730401083</v>
      </c>
      <c r="L14">
        <f t="shared" si="7"/>
        <v>133.77593206552513</v>
      </c>
      <c r="M14">
        <f t="shared" si="8"/>
        <v>134.20771983571578</v>
      </c>
      <c r="O14">
        <f t="shared" si="9"/>
        <v>1.1679176875267572</v>
      </c>
      <c r="P14">
        <f t="shared" si="10"/>
        <v>2.0375915794032071E-2</v>
      </c>
      <c r="Q14">
        <f t="shared" si="11"/>
        <v>2092.2442690586199</v>
      </c>
      <c r="R14">
        <f t="shared" si="12"/>
        <v>361.40698319363526</v>
      </c>
      <c r="T14">
        <v>10.756954192613708</v>
      </c>
      <c r="U14">
        <f t="shared" si="13"/>
        <v>-9.9327621683187317E-5</v>
      </c>
      <c r="AD14">
        <v>65</v>
      </c>
      <c r="AE14">
        <v>72.684207202238539</v>
      </c>
      <c r="AF14">
        <v>187.12181607901084</v>
      </c>
      <c r="AG14">
        <v>325.66770272288602</v>
      </c>
      <c r="AH14">
        <v>488.11653923174447</v>
      </c>
      <c r="AI14">
        <v>674.31309083977374</v>
      </c>
      <c r="AJ14">
        <v>884.14366837411808</v>
      </c>
      <c r="AS14">
        <v>65</v>
      </c>
      <c r="AT14">
        <v>17.788081944210639</v>
      </c>
      <c r="AU14">
        <v>39.625805372070459</v>
      </c>
      <c r="AV14">
        <v>62.571005166033501</v>
      </c>
      <c r="AW14">
        <v>86.864896241306752</v>
      </c>
      <c r="AX14">
        <v>112.68291855744476</v>
      </c>
      <c r="AY14">
        <v>140.15372322085915</v>
      </c>
    </row>
    <row r="15" spans="2:59" x14ac:dyDescent="0.25">
      <c r="B15">
        <v>0.65</v>
      </c>
      <c r="C15">
        <f t="shared" si="0"/>
        <v>0.24700000000000003</v>
      </c>
      <c r="D15">
        <f t="shared" si="1"/>
        <v>3.98084725433661E-2</v>
      </c>
      <c r="F15">
        <f t="shared" si="2"/>
        <v>44.52519554346658</v>
      </c>
      <c r="G15">
        <f t="shared" si="3"/>
        <v>29.544634739569723</v>
      </c>
      <c r="H15">
        <f t="shared" si="4"/>
        <v>4.3483762505210564</v>
      </c>
      <c r="I15">
        <f t="shared" si="5"/>
        <v>10.632184553375801</v>
      </c>
      <c r="J15">
        <f t="shared" si="6"/>
        <v>33.893010990090779</v>
      </c>
      <c r="L15">
        <f t="shared" si="7"/>
        <v>141.95862073153572</v>
      </c>
      <c r="M15">
        <f t="shared" si="8"/>
        <v>142.36843229414748</v>
      </c>
      <c r="O15">
        <f t="shared" si="9"/>
        <v>1.1653584184146484</v>
      </c>
      <c r="P15">
        <f t="shared" si="10"/>
        <v>2.0330491931999452E-2</v>
      </c>
      <c r="Q15">
        <f t="shared" si="11"/>
        <v>2328.5867033234181</v>
      </c>
      <c r="R15">
        <f t="shared" si="12"/>
        <v>401.12551412267754</v>
      </c>
      <c r="T15">
        <v>10.794466818386738</v>
      </c>
      <c r="U15">
        <f t="shared" si="13"/>
        <v>-1.6387030700570904E-4</v>
      </c>
      <c r="AD15">
        <v>70</v>
      </c>
      <c r="AE15">
        <v>36.047187501152919</v>
      </c>
      <c r="AF15">
        <v>147.14448224550662</v>
      </c>
      <c r="AG15">
        <v>282.47170499855605</v>
      </c>
      <c r="AH15">
        <v>441.81211097539693</v>
      </c>
      <c r="AI15">
        <v>624.99410813978284</v>
      </c>
      <c r="AJ15">
        <v>831.8870806826335</v>
      </c>
      <c r="AS15">
        <v>70</v>
      </c>
      <c r="AT15">
        <v>10.077634918451611</v>
      </c>
      <c r="AU15">
        <v>33.153955626548857</v>
      </c>
      <c r="AV15">
        <v>57.185620087486647</v>
      </c>
      <c r="AW15">
        <v>82.438616927309411</v>
      </c>
      <c r="AX15">
        <v>109.11004534700112</v>
      </c>
      <c r="AY15">
        <v>137.34694442569239</v>
      </c>
    </row>
    <row r="16" spans="2:59" x14ac:dyDescent="0.25">
      <c r="B16">
        <v>0.7</v>
      </c>
      <c r="C16">
        <f t="shared" si="0"/>
        <v>0.26599999999999996</v>
      </c>
      <c r="D16">
        <f t="shared" si="1"/>
        <v>3.8301624299601197E-2</v>
      </c>
      <c r="F16">
        <f t="shared" si="2"/>
        <v>42.488734972444874</v>
      </c>
      <c r="G16">
        <f t="shared" si="3"/>
        <v>27.75854060106003</v>
      </c>
      <c r="H16">
        <f t="shared" si="4"/>
        <v>4.1201700095497245</v>
      </c>
      <c r="I16">
        <f t="shared" si="5"/>
        <v>10.610024361835119</v>
      </c>
      <c r="J16">
        <f t="shared" si="6"/>
        <v>31.878710610609755</v>
      </c>
      <c r="L16">
        <f t="shared" si="7"/>
        <v>150.2963738750872</v>
      </c>
      <c r="M16">
        <f t="shared" si="8"/>
        <v>150.68581357568056</v>
      </c>
      <c r="O16">
        <f t="shared" si="9"/>
        <v>1.1629295134576314</v>
      </c>
      <c r="P16">
        <f t="shared" si="10"/>
        <v>2.0287474034982173E-2</v>
      </c>
      <c r="Q16">
        <f t="shared" si="11"/>
        <v>2564.4903091443994</v>
      </c>
      <c r="R16">
        <f t="shared" si="12"/>
        <v>440.93643305162828</v>
      </c>
      <c r="T16">
        <v>10.826560532540361</v>
      </c>
      <c r="U16">
        <f t="shared" si="13"/>
        <v>-2.4655599099787651E-4</v>
      </c>
      <c r="AD16">
        <v>75</v>
      </c>
      <c r="AE16">
        <v>-1.7804316438511483</v>
      </c>
      <c r="AF16">
        <v>105.92102521646785</v>
      </c>
      <c r="AG16">
        <v>237.96750896995692</v>
      </c>
      <c r="AH16">
        <v>394.1367306919517</v>
      </c>
      <c r="AI16">
        <v>574.24469674548641</v>
      </c>
      <c r="AJ16">
        <v>778.14609807701436</v>
      </c>
      <c r="AS16">
        <v>75</v>
      </c>
      <c r="AT16">
        <v>1.1911110808576184</v>
      </c>
      <c r="AU16">
        <v>25.582863254096708</v>
      </c>
      <c r="AV16">
        <v>50.776285002917646</v>
      </c>
      <c r="AW16">
        <v>77.060100236431907</v>
      </c>
      <c r="AX16">
        <v>104.65180139257708</v>
      </c>
      <c r="AY16">
        <v>133.71622896776034</v>
      </c>
      <c r="BG16" t="s">
        <v>28</v>
      </c>
    </row>
    <row r="17" spans="2:51" x14ac:dyDescent="0.25">
      <c r="B17">
        <v>0.75</v>
      </c>
      <c r="C17">
        <f t="shared" si="0"/>
        <v>0.28500000000000003</v>
      </c>
      <c r="D17">
        <f t="shared" si="1"/>
        <v>3.6833380954365377E-2</v>
      </c>
      <c r="F17">
        <f t="shared" si="2"/>
        <v>40.661578197381068</v>
      </c>
      <c r="G17">
        <f t="shared" si="3"/>
        <v>26.161566442019236</v>
      </c>
      <c r="H17">
        <f t="shared" si="4"/>
        <v>3.9109646271288407</v>
      </c>
      <c r="I17">
        <f t="shared" si="5"/>
        <v>10.589047128232991</v>
      </c>
      <c r="J17">
        <f t="shared" si="6"/>
        <v>30.072531069148077</v>
      </c>
      <c r="L17">
        <f t="shared" si="7"/>
        <v>158.76476309307429</v>
      </c>
      <c r="M17">
        <f t="shared" si="8"/>
        <v>159.135350406112</v>
      </c>
      <c r="O17">
        <f t="shared" si="9"/>
        <v>1.1606302685893199</v>
      </c>
      <c r="P17">
        <f t="shared" si="10"/>
        <v>2.0246835219220737E-2</v>
      </c>
      <c r="Q17">
        <f t="shared" si="11"/>
        <v>2799.6400764272457</v>
      </c>
      <c r="R17">
        <f t="shared" si="12"/>
        <v>480.78963517589597</v>
      </c>
      <c r="T17">
        <v>10.854019940835059</v>
      </c>
      <c r="U17">
        <f t="shared" si="13"/>
        <v>-3.4664953000174137E-4</v>
      </c>
      <c r="AD17">
        <v>80</v>
      </c>
      <c r="AE17">
        <v>-40.779662395445122</v>
      </c>
      <c r="AF17">
        <v>63.478617241704548</v>
      </c>
      <c r="AG17">
        <v>192.18871781053178</v>
      </c>
      <c r="AH17">
        <v>345.12792749202339</v>
      </c>
      <c r="AI17">
        <v>522.10404309406999</v>
      </c>
      <c r="AJ17">
        <v>722.95970675880437</v>
      </c>
      <c r="AS17">
        <v>80</v>
      </c>
      <c r="AT17">
        <v>-8.9020910662413133</v>
      </c>
      <c r="AU17">
        <v>16.876651199304842</v>
      </c>
      <c r="AV17">
        <v>43.303126879341342</v>
      </c>
      <c r="AW17">
        <v>70.686787354754699</v>
      </c>
      <c r="AX17">
        <v>99.264143862035226</v>
      </c>
      <c r="AY17">
        <v>129.2170267149483</v>
      </c>
    </row>
    <row r="18" spans="2:51" x14ac:dyDescent="0.25">
      <c r="B18">
        <v>0.8</v>
      </c>
      <c r="C18">
        <f t="shared" si="0"/>
        <v>0.30400000000000005</v>
      </c>
      <c r="D18">
        <f t="shared" si="1"/>
        <v>3.5408821526000681E-2</v>
      </c>
      <c r="F18">
        <f t="shared" si="2"/>
        <v>39.017911340661058</v>
      </c>
      <c r="G18">
        <f t="shared" si="3"/>
        <v>24.727314386690136</v>
      </c>
      <c r="H18">
        <f t="shared" si="4"/>
        <v>3.7188727642830468</v>
      </c>
      <c r="I18">
        <f t="shared" si="5"/>
        <v>10.571724189687876</v>
      </c>
      <c r="J18">
        <f t="shared" si="6"/>
        <v>28.446187150973181</v>
      </c>
      <c r="L18">
        <f t="shared" si="7"/>
        <v>167.34395716607159</v>
      </c>
      <c r="M18">
        <f t="shared" si="8"/>
        <v>167.69707560387147</v>
      </c>
      <c r="O18">
        <f t="shared" si="9"/>
        <v>1.1587315588590772</v>
      </c>
      <c r="P18">
        <f t="shared" si="10"/>
        <v>2.0213336434763991E-2</v>
      </c>
      <c r="Q18">
        <f t="shared" si="11"/>
        <v>3033.6893247927292</v>
      </c>
      <c r="R18">
        <f t="shared" si="12"/>
        <v>520.62332203944072</v>
      </c>
      <c r="T18">
        <v>10.877001705000444</v>
      </c>
      <c r="U18">
        <f t="shared" si="13"/>
        <v>-4.6261444822448539E-4</v>
      </c>
      <c r="AD18">
        <v>85</v>
      </c>
      <c r="AE18">
        <v>-80.935901290550646</v>
      </c>
      <c r="AF18">
        <v>19.83938039215392</v>
      </c>
      <c r="AG18">
        <v>145.16391894202818</v>
      </c>
      <c r="AH18">
        <v>294.81893684024408</v>
      </c>
      <c r="AI18">
        <v>468.60802853604451</v>
      </c>
      <c r="AJ18">
        <v>666.36470287560428</v>
      </c>
      <c r="AS18">
        <v>85</v>
      </c>
      <c r="AT18">
        <v>-20.22841434249268</v>
      </c>
      <c r="AU18">
        <v>7.0038680008279197</v>
      </c>
      <c r="AV18">
        <v>34.730626995752417</v>
      </c>
      <c r="AW18">
        <v>63.280179915268384</v>
      </c>
      <c r="AX18">
        <v>92.906650897881946</v>
      </c>
      <c r="AY18">
        <v>123.80791913116978</v>
      </c>
    </row>
    <row r="19" spans="2:51" x14ac:dyDescent="0.25">
      <c r="B19">
        <v>0.85</v>
      </c>
      <c r="C19">
        <f t="shared" si="0"/>
        <v>0.32300000000000001</v>
      </c>
      <c r="D19">
        <f t="shared" si="1"/>
        <v>3.4024981805301946E-2</v>
      </c>
      <c r="F19">
        <f t="shared" si="2"/>
        <v>37.537013601520933</v>
      </c>
      <c r="G19">
        <f t="shared" si="3"/>
        <v>23.433670721809602</v>
      </c>
      <c r="H19">
        <f t="shared" si="4"/>
        <v>3.5420790585369555</v>
      </c>
      <c r="I19">
        <f t="shared" si="5"/>
        <v>10.561263821174375</v>
      </c>
      <c r="J19">
        <f t="shared" si="6"/>
        <v>26.975749780346558</v>
      </c>
      <c r="L19">
        <f t="shared" si="7"/>
        <v>176.0177547862715</v>
      </c>
      <c r="M19">
        <f t="shared" si="8"/>
        <v>176.35464610890949</v>
      </c>
      <c r="O19">
        <f t="shared" si="9"/>
        <v>1.157585032625853</v>
      </c>
      <c r="P19">
        <f t="shared" si="10"/>
        <v>2.0193134922507482E-2</v>
      </c>
      <c r="Q19">
        <f t="shared" si="11"/>
        <v>3266.2966849970326</v>
      </c>
      <c r="R19">
        <f t="shared" si="12"/>
        <v>560.37345724943577</v>
      </c>
      <c r="T19">
        <v>10.895467139994386</v>
      </c>
      <c r="U19">
        <f t="shared" si="13"/>
        <v>-5.9223252264928306E-4</v>
      </c>
      <c r="AD19">
        <v>90</v>
      </c>
      <c r="AE19">
        <v>-122.23791465888782</v>
      </c>
      <c r="AF19">
        <v>-24.978926100397917</v>
      </c>
      <c r="AG19">
        <v>96.917174800228224</v>
      </c>
      <c r="AH19">
        <v>243.23884685595218</v>
      </c>
      <c r="AI19">
        <v>413.78907746324143</v>
      </c>
      <c r="AJ19">
        <v>608.3952420600574</v>
      </c>
      <c r="AS19">
        <v>90</v>
      </c>
      <c r="AT19">
        <v>-32.810791346655854</v>
      </c>
      <c r="AU19">
        <v>-4.0631358052430802</v>
      </c>
      <c r="AV19">
        <v>25.027150953545757</v>
      </c>
      <c r="AW19">
        <v>54.805520151868429</v>
      </c>
      <c r="AX19">
        <v>85.5423371264623</v>
      </c>
      <c r="AY19">
        <v>117.45053460778212</v>
      </c>
    </row>
    <row r="20" spans="2:51" x14ac:dyDescent="0.25">
      <c r="B20">
        <v>0.9</v>
      </c>
      <c r="C20">
        <f t="shared" si="0"/>
        <v>0.34200000000000003</v>
      </c>
      <c r="D20">
        <f t="shared" si="1"/>
        <v>3.2685437530312847E-2</v>
      </c>
      <c r="F20">
        <f t="shared" si="2"/>
        <v>36.199728970197043</v>
      </c>
      <c r="G20">
        <f t="shared" si="3"/>
        <v>22.262069144125611</v>
      </c>
      <c r="H20">
        <f t="shared" si="4"/>
        <v>3.3791023659087474</v>
      </c>
      <c r="I20">
        <f t="shared" si="5"/>
        <v>10.558557460162685</v>
      </c>
      <c r="J20">
        <f t="shared" si="6"/>
        <v>25.641171510034358</v>
      </c>
      <c r="L20">
        <f t="shared" si="7"/>
        <v>184.77283350103176</v>
      </c>
      <c r="M20">
        <f t="shared" si="8"/>
        <v>185.09464043321063</v>
      </c>
      <c r="O20">
        <f t="shared" si="9"/>
        <v>1.1572883973885308</v>
      </c>
      <c r="P20">
        <f t="shared" si="10"/>
        <v>2.0187911538476058E-2</v>
      </c>
      <c r="Q20">
        <f t="shared" si="11"/>
        <v>3497.3402296956715</v>
      </c>
      <c r="R20">
        <f t="shared" si="12"/>
        <v>600.01649693006607</v>
      </c>
      <c r="T20">
        <v>10.909899958272915</v>
      </c>
      <c r="U20">
        <f t="shared" si="13"/>
        <v>-7.332323975788313E-4</v>
      </c>
    </row>
    <row r="21" spans="2:51" x14ac:dyDescent="0.25">
      <c r="B21">
        <v>0.95</v>
      </c>
      <c r="C21">
        <f t="shared" si="0"/>
        <v>0.36099999999999999</v>
      </c>
      <c r="D21">
        <f t="shared" si="1"/>
        <v>3.14171239314886E-2</v>
      </c>
      <c r="F21">
        <f t="shared" si="2"/>
        <v>34.98373764814302</v>
      </c>
      <c r="G21">
        <f t="shared" si="3"/>
        <v>21.196872137322273</v>
      </c>
      <c r="H21">
        <f t="shared" si="4"/>
        <v>3.2291249103241135</v>
      </c>
      <c r="I21">
        <f t="shared" si="5"/>
        <v>10.557740600496633</v>
      </c>
      <c r="J21">
        <f t="shared" si="6"/>
        <v>24.425997047646387</v>
      </c>
      <c r="L21">
        <f t="shared" si="7"/>
        <v>193.59816631363014</v>
      </c>
      <c r="M21">
        <f t="shared" si="8"/>
        <v>193.90603874802599</v>
      </c>
      <c r="O21">
        <f t="shared" si="9"/>
        <v>1.1571988641149391</v>
      </c>
      <c r="P21">
        <f t="shared" si="10"/>
        <v>2.0186335229945222E-2</v>
      </c>
      <c r="Q21">
        <f t="shared" si="11"/>
        <v>3727.4394491415378</v>
      </c>
      <c r="R21">
        <f t="shared" si="12"/>
        <v>639.6708795247539</v>
      </c>
      <c r="T21">
        <v>10.92253921718582</v>
      </c>
      <c r="U21">
        <f t="shared" si="13"/>
        <v>-8.8536342991574202E-4</v>
      </c>
    </row>
    <row r="22" spans="2:51" x14ac:dyDescent="0.25">
      <c r="B22">
        <v>1</v>
      </c>
      <c r="C22">
        <f t="shared" si="0"/>
        <v>0.38</v>
      </c>
      <c r="D22">
        <f t="shared" si="1"/>
        <v>3.0289391647223968E-2</v>
      </c>
      <c r="F22">
        <f t="shared" si="2"/>
        <v>33.857627174314253</v>
      </c>
      <c r="G22">
        <f t="shared" si="3"/>
        <v>20.224859431168078</v>
      </c>
      <c r="H22">
        <f t="shared" si="4"/>
        <v>3.0924342780525529</v>
      </c>
      <c r="I22">
        <f t="shared" si="5"/>
        <v>10.540333465093623</v>
      </c>
      <c r="J22">
        <f t="shared" si="6"/>
        <v>23.317293709220632</v>
      </c>
      <c r="L22">
        <f t="shared" si="7"/>
        <v>202.48456731316588</v>
      </c>
      <c r="M22">
        <f t="shared" si="8"/>
        <v>202.77985482011448</v>
      </c>
      <c r="O22">
        <f t="shared" si="9"/>
        <v>1.1552909258468864</v>
      </c>
      <c r="P22">
        <f t="shared" si="10"/>
        <v>2.0152773363099081E-2</v>
      </c>
      <c r="Q22">
        <f t="shared" si="11"/>
        <v>3958.9588448322334</v>
      </c>
      <c r="R22">
        <f t="shared" si="12"/>
        <v>679.79110935112863</v>
      </c>
      <c r="T22">
        <v>10.939356510631676</v>
      </c>
      <c r="U22">
        <f t="shared" si="13"/>
        <v>1.2728378351312131E-8</v>
      </c>
    </row>
    <row r="23" spans="2:51" x14ac:dyDescent="0.25">
      <c r="C23">
        <f>(C22-C5)/17</f>
        <v>1.9E-2</v>
      </c>
      <c r="AD23" t="s">
        <v>24</v>
      </c>
      <c r="AS23" t="s">
        <v>25</v>
      </c>
    </row>
    <row r="24" spans="2:51" x14ac:dyDescent="0.25">
      <c r="AD24" t="s">
        <v>16</v>
      </c>
      <c r="AE24" t="s">
        <v>21</v>
      </c>
      <c r="AS24" t="s">
        <v>16</v>
      </c>
      <c r="AT24" t="s">
        <v>21</v>
      </c>
    </row>
    <row r="25" spans="2:51" x14ac:dyDescent="0.25">
      <c r="AE25">
        <v>300</v>
      </c>
      <c r="AF25">
        <v>350</v>
      </c>
      <c r="AG25">
        <v>400</v>
      </c>
      <c r="AH25">
        <v>450</v>
      </c>
      <c r="AI25">
        <v>500</v>
      </c>
      <c r="AJ25">
        <v>550</v>
      </c>
      <c r="AT25">
        <v>300</v>
      </c>
      <c r="AU25">
        <v>350</v>
      </c>
      <c r="AV25">
        <v>400</v>
      </c>
      <c r="AW25">
        <v>450</v>
      </c>
      <c r="AX25">
        <v>500</v>
      </c>
      <c r="AY25">
        <v>550</v>
      </c>
    </row>
    <row r="26" spans="2:51" x14ac:dyDescent="0.25">
      <c r="B26" t="s">
        <v>19</v>
      </c>
      <c r="C26">
        <v>0.38</v>
      </c>
      <c r="E26" t="s">
        <v>22</v>
      </c>
      <c r="F26">
        <f xml:space="preserve"> (C23/2) * (Q5 + 2 * SUM(Q6:Q21) + Q22)</f>
        <v>643.61023863689866</v>
      </c>
      <c r="AD26">
        <v>30</v>
      </c>
      <c r="AE26">
        <v>12807.30279877019</v>
      </c>
      <c r="AF26">
        <v>20438.822014047557</v>
      </c>
      <c r="AG26">
        <v>30420.364867166125</v>
      </c>
      <c r="AH26">
        <v>43065.173091709745</v>
      </c>
      <c r="AI26">
        <v>58686.826445762068</v>
      </c>
      <c r="AJ26">
        <v>77598.983656972327</v>
      </c>
      <c r="AS26">
        <v>30</v>
      </c>
      <c r="AT26">
        <v>8783.1626807455505</v>
      </c>
      <c r="AU26">
        <v>12853.776031850417</v>
      </c>
      <c r="AV26">
        <v>17626.325932177941</v>
      </c>
      <c r="AW26">
        <v>23099.954901767895</v>
      </c>
      <c r="AX26">
        <v>29274.221561789614</v>
      </c>
      <c r="AY26">
        <v>36148.893163861314</v>
      </c>
    </row>
    <row r="27" spans="2:51" x14ac:dyDescent="0.25">
      <c r="B27" t="s">
        <v>20</v>
      </c>
      <c r="C27">
        <v>6</v>
      </c>
      <c r="E27" t="s">
        <v>23</v>
      </c>
      <c r="F27">
        <f xml:space="preserve"> (C23/2) * (R5 + 2 * SUM(R6:R21) + R22)</f>
        <v>111.7406887734634</v>
      </c>
      <c r="AD27">
        <v>35</v>
      </c>
      <c r="AE27">
        <v>12544.487436992486</v>
      </c>
      <c r="AF27">
        <v>20337.522508778406</v>
      </c>
      <c r="AG27">
        <v>30507.98230411674</v>
      </c>
      <c r="AH27">
        <v>43367.970666018446</v>
      </c>
      <c r="AI27">
        <v>59230.614791368389</v>
      </c>
      <c r="AJ27">
        <v>78409.430045081448</v>
      </c>
      <c r="AS27">
        <v>35</v>
      </c>
      <c r="AT27">
        <v>9295.9465373719249</v>
      </c>
      <c r="AU27">
        <v>13947.336983341453</v>
      </c>
      <c r="AV27">
        <v>19419.606052188501</v>
      </c>
      <c r="AW27">
        <v>25710.985128411445</v>
      </c>
      <c r="AX27">
        <v>32820.498144417157</v>
      </c>
      <c r="AY27">
        <v>40747.596090671614</v>
      </c>
    </row>
    <row r="28" spans="2:51" x14ac:dyDescent="0.25">
      <c r="B28" s="1" t="s">
        <v>16</v>
      </c>
      <c r="C28">
        <v>70</v>
      </c>
      <c r="E28" t="s">
        <v>24</v>
      </c>
      <c r="F28">
        <f xml:space="preserve"> F27 * C29</f>
        <v>55870.344386731704</v>
      </c>
      <c r="AD28">
        <v>40</v>
      </c>
      <c r="AE28">
        <v>12051.445996283932</v>
      </c>
      <c r="AF28">
        <v>20001.167078907401</v>
      </c>
      <c r="AG28">
        <v>30358.050723706499</v>
      </c>
      <c r="AH28">
        <v>43431.938513263362</v>
      </c>
      <c r="AI28">
        <v>59534.875960398</v>
      </c>
      <c r="AJ28">
        <v>78979.885602379902</v>
      </c>
      <c r="AS28">
        <v>40</v>
      </c>
      <c r="AT28">
        <v>9475.7026815387526</v>
      </c>
      <c r="AU28">
        <v>14676.915188770688</v>
      </c>
      <c r="AV28">
        <v>20819.348103873082</v>
      </c>
      <c r="AW28">
        <v>27899.896372367439</v>
      </c>
      <c r="AX28">
        <v>35916.74252989269</v>
      </c>
      <c r="AY28">
        <v>44868.809570743455</v>
      </c>
    </row>
    <row r="29" spans="2:51" x14ac:dyDescent="0.25">
      <c r="B29" s="1" t="s">
        <v>21</v>
      </c>
      <c r="C29">
        <v>500</v>
      </c>
      <c r="E29" t="s">
        <v>25</v>
      </c>
      <c r="F29">
        <f xml:space="preserve"> F26 *C28</f>
        <v>45052.716704582905</v>
      </c>
      <c r="AD29">
        <v>45</v>
      </c>
      <c r="AE29">
        <v>11302.394838069107</v>
      </c>
      <c r="AF29">
        <v>19400.73080415497</v>
      </c>
      <c r="AG29">
        <v>29939.43420265066</v>
      </c>
      <c r="AH29">
        <v>43224.646555183106</v>
      </c>
      <c r="AI29">
        <v>59566.447585716254</v>
      </c>
      <c r="AJ29">
        <v>79276.834023979769</v>
      </c>
      <c r="AS29">
        <v>45</v>
      </c>
      <c r="AT29">
        <v>9302.7644196969904</v>
      </c>
      <c r="AU29">
        <v>15021.330555875982</v>
      </c>
      <c r="AV29">
        <v>21803.079298063585</v>
      </c>
      <c r="AW29">
        <v>29643.173518342261</v>
      </c>
      <c r="AX29">
        <v>38538.622360646201</v>
      </c>
      <c r="AY29">
        <v>48487.569781681588</v>
      </c>
    </row>
    <row r="30" spans="2:51" x14ac:dyDescent="0.25">
      <c r="B30" s="1" t="s">
        <v>17</v>
      </c>
      <c r="C30">
        <v>2000</v>
      </c>
      <c r="E30" t="s">
        <v>26</v>
      </c>
      <c r="F30">
        <f xml:space="preserve"> F28 / F26</f>
        <v>86.807730879265435</v>
      </c>
      <c r="AD30">
        <v>50</v>
      </c>
      <c r="AE30">
        <v>10274.679872905723</v>
      </c>
      <c r="AF30">
        <v>18509.755191630447</v>
      </c>
      <c r="AG30">
        <v>29222.945168031067</v>
      </c>
      <c r="AH30">
        <v>42715.045164580806</v>
      </c>
      <c r="AI30">
        <v>59293.068101512319</v>
      </c>
      <c r="AJ30">
        <v>79267.268224905667</v>
      </c>
      <c r="AS30">
        <v>50</v>
      </c>
      <c r="AT30">
        <v>8758.5937925822291</v>
      </c>
      <c r="AU30">
        <v>14960.642573969475</v>
      </c>
      <c r="AV30">
        <v>22349.539960020782</v>
      </c>
      <c r="AW30">
        <v>30918.414170956676</v>
      </c>
      <c r="AX30">
        <v>40662.789514173142</v>
      </c>
      <c r="AY30">
        <v>51579.761234801314</v>
      </c>
    </row>
    <row r="31" spans="2:51" x14ac:dyDescent="0.25">
      <c r="B31" s="1" t="s">
        <v>18</v>
      </c>
      <c r="C31">
        <f xml:space="preserve"> 1.225 * (1 - (0.0065/288) * C30) ^( (9.81/(287*0.0065) - 1 ) )</f>
        <v>1.0062562057514428</v>
      </c>
      <c r="E31" s="1" t="s">
        <v>29</v>
      </c>
      <c r="F31">
        <f xml:space="preserve"> F29 / F28</f>
        <v>0.80637979234082169</v>
      </c>
      <c r="AD31">
        <v>55</v>
      </c>
      <c r="AE31">
        <v>8948.6535075512202</v>
      </c>
      <c r="AF31">
        <v>17304.476343516304</v>
      </c>
      <c r="AG31">
        <v>28181.62295595917</v>
      </c>
      <c r="AH31">
        <v>41873.822327106951</v>
      </c>
      <c r="AI31">
        <v>58683.758458348064</v>
      </c>
      <c r="AJ31">
        <v>78919.073300656673</v>
      </c>
      <c r="AS31">
        <v>55</v>
      </c>
      <c r="AT31">
        <v>7825.4987820922388</v>
      </c>
      <c r="AU31">
        <v>14475.954965984347</v>
      </c>
      <c r="AV31">
        <v>22438.57623273183</v>
      </c>
      <c r="AW31">
        <v>31704.296833653974</v>
      </c>
      <c r="AX31">
        <v>42266.897243290732</v>
      </c>
      <c r="AY31">
        <v>54122.172498578664</v>
      </c>
    </row>
    <row r="32" spans="2:51" x14ac:dyDescent="0.25">
      <c r="AD32">
        <v>60</v>
      </c>
      <c r="AE32">
        <v>7307.4023637987957</v>
      </c>
      <c r="AF32">
        <v>15763.77770508426</v>
      </c>
      <c r="AG32">
        <v>26790.861235580771</v>
      </c>
      <c r="AH32">
        <v>40673.63013239039</v>
      </c>
      <c r="AI32">
        <v>57709.106499449095</v>
      </c>
      <c r="AJ32">
        <v>78201.330158262368</v>
      </c>
      <c r="AS32">
        <v>60</v>
      </c>
      <c r="AT32">
        <v>6486.3689101088412</v>
      </c>
      <c r="AU32">
        <v>13549.1971024922</v>
      </c>
      <c r="AV32">
        <v>22050.996442264113</v>
      </c>
      <c r="AW32">
        <v>31980.496438408984</v>
      </c>
      <c r="AX32">
        <v>43329.571730695148</v>
      </c>
      <c r="AY32">
        <v>56092.50286756194</v>
      </c>
    </row>
    <row r="33" spans="30:51" x14ac:dyDescent="0.25">
      <c r="AD33">
        <v>65</v>
      </c>
      <c r="AE33">
        <v>5336.4245832631914</v>
      </c>
      <c r="AF33">
        <v>13869.03188022466</v>
      </c>
      <c r="AG33">
        <v>25028.4020664134</v>
      </c>
      <c r="AH33">
        <v>39089.203308588039</v>
      </c>
      <c r="AI33">
        <v>56341.459278722381</v>
      </c>
      <c r="AJ33">
        <v>77084.547771472528</v>
      </c>
      <c r="AS33">
        <v>65</v>
      </c>
      <c r="AT33">
        <v>4724.4734681455047</v>
      </c>
      <c r="AU33">
        <v>12162.918045135704</v>
      </c>
      <c r="AV33">
        <v>21168.400676987592</v>
      </c>
      <c r="AW33">
        <v>31727.575050063391</v>
      </c>
      <c r="AX33">
        <v>43830.350904585292</v>
      </c>
      <c r="AY33">
        <v>57469.338444317676</v>
      </c>
    </row>
    <row r="34" spans="30:51" x14ac:dyDescent="0.25">
      <c r="AD34">
        <v>70</v>
      </c>
      <c r="AE34">
        <v>3023.2904755354834</v>
      </c>
      <c r="AF34">
        <v>11603.884469292099</v>
      </c>
      <c r="AG34">
        <v>22874.24803499466</v>
      </c>
      <c r="AH34">
        <v>37097.377617289232</v>
      </c>
      <c r="AI34">
        <v>54555.022673500556</v>
      </c>
      <c r="AJ34">
        <v>75540.819434130812</v>
      </c>
      <c r="AS34">
        <v>70</v>
      </c>
      <c r="AT34">
        <v>2523.3031250807044</v>
      </c>
      <c r="AU34">
        <v>10300.113757185463</v>
      </c>
      <c r="AV34">
        <v>19773.019349898925</v>
      </c>
      <c r="AW34">
        <v>30926.847768277785</v>
      </c>
      <c r="AX34">
        <v>43749.587569784795</v>
      </c>
      <c r="AY34">
        <v>58232.095647784343</v>
      </c>
    </row>
    <row r="35" spans="30:51" x14ac:dyDescent="0.25">
      <c r="AD35">
        <v>75</v>
      </c>
      <c r="AE35">
        <v>357.33332425728554</v>
      </c>
      <c r="AF35">
        <v>8954.0021389338472</v>
      </c>
      <c r="AG35">
        <v>20310.514001167059</v>
      </c>
      <c r="AH35">
        <v>34677.045106394355</v>
      </c>
      <c r="AI35">
        <v>52325.90069628854</v>
      </c>
      <c r="AJ35">
        <v>73543.92593226819</v>
      </c>
      <c r="AS35">
        <v>75</v>
      </c>
      <c r="AT35">
        <v>-133.53237328883611</v>
      </c>
      <c r="AU35">
        <v>7944.0768912350886</v>
      </c>
      <c r="AV35">
        <v>17847.56317274677</v>
      </c>
      <c r="AW35">
        <v>29560.254801896379</v>
      </c>
      <c r="AX35">
        <v>43068.352255911479</v>
      </c>
      <c r="AY35">
        <v>58360.957355776074</v>
      </c>
    </row>
    <row r="36" spans="30:51" x14ac:dyDescent="0.25">
      <c r="AD36">
        <v>80</v>
      </c>
      <c r="AE36">
        <v>-2670.6273198723939</v>
      </c>
      <c r="AF36">
        <v>5906.8279197566944</v>
      </c>
      <c r="AG36">
        <v>17321.250751736537</v>
      </c>
      <c r="AH36">
        <v>31809.054309639614</v>
      </c>
      <c r="AI36">
        <v>49632.071931017614</v>
      </c>
      <c r="AJ36">
        <v>71069.364693221563</v>
      </c>
      <c r="AS36">
        <v>80</v>
      </c>
      <c r="AT36">
        <v>-3262.3729916356097</v>
      </c>
      <c r="AU36">
        <v>5078.2893793363637</v>
      </c>
      <c r="AV36">
        <v>15375.097424842543</v>
      </c>
      <c r="AW36">
        <v>27610.234199361872</v>
      </c>
      <c r="AX36">
        <v>41768.323447525603</v>
      </c>
      <c r="AY36">
        <v>57836.776540704348</v>
      </c>
    </row>
    <row r="37" spans="30:51" x14ac:dyDescent="0.25">
      <c r="AD37">
        <v>85</v>
      </c>
      <c r="AE37">
        <v>-6068.5243027478045</v>
      </c>
      <c r="AF37">
        <v>2451.3538002897717</v>
      </c>
      <c r="AG37">
        <v>13892.250798300967</v>
      </c>
      <c r="AH37">
        <v>28476.080961870772</v>
      </c>
      <c r="AI37">
        <v>46453.325448940974</v>
      </c>
      <c r="AJ37">
        <v>68094.355522143378</v>
      </c>
      <c r="AS37">
        <v>85</v>
      </c>
      <c r="AT37">
        <v>-6879.5516096968049</v>
      </c>
      <c r="AU37">
        <v>1686.3473333330833</v>
      </c>
      <c r="AV37">
        <v>12338.933110072396</v>
      </c>
      <c r="AW37">
        <v>25059.609631420746</v>
      </c>
      <c r="AX37">
        <v>39831.682425563784</v>
      </c>
      <c r="AY37">
        <v>56640.999744426364</v>
      </c>
    </row>
    <row r="38" spans="30:51" x14ac:dyDescent="0.25">
      <c r="AD38">
        <v>90</v>
      </c>
      <c r="AE38">
        <v>-9843.2374039967563</v>
      </c>
      <c r="AF38">
        <v>-1422.0975318350781</v>
      </c>
      <c r="AG38">
        <v>10010.860381418302</v>
      </c>
      <c r="AH38">
        <v>24662.484068340793</v>
      </c>
      <c r="AI38">
        <v>42771.168563231149</v>
      </c>
      <c r="AJ38">
        <v>64597.794034280167</v>
      </c>
      <c r="AS38">
        <v>90</v>
      </c>
      <c r="AT38">
        <v>-11001.412319299903</v>
      </c>
      <c r="AU38">
        <v>-2248.1033490358127</v>
      </c>
      <c r="AV38">
        <v>8722.5457320205405</v>
      </c>
      <c r="AW38">
        <v>21891.496217035696</v>
      </c>
      <c r="AX38">
        <v>37241.01697169173</v>
      </c>
      <c r="AY38">
        <v>54755.571785405169</v>
      </c>
    </row>
    <row r="42" spans="30:51" x14ac:dyDescent="0.25">
      <c r="AD42" t="s">
        <v>26</v>
      </c>
      <c r="AS42" s="1" t="s">
        <v>29</v>
      </c>
    </row>
    <row r="43" spans="30:51" x14ac:dyDescent="0.25">
      <c r="AD43" t="s">
        <v>16</v>
      </c>
      <c r="AE43" t="s">
        <v>21</v>
      </c>
      <c r="AS43" t="s">
        <v>16</v>
      </c>
      <c r="AT43" t="s">
        <v>21</v>
      </c>
    </row>
    <row r="44" spans="30:51" x14ac:dyDescent="0.25">
      <c r="AE44">
        <v>300</v>
      </c>
      <c r="AF44">
        <v>350</v>
      </c>
      <c r="AG44">
        <v>400</v>
      </c>
      <c r="AH44">
        <v>450</v>
      </c>
      <c r="AI44">
        <v>500</v>
      </c>
      <c r="AJ44">
        <v>550</v>
      </c>
      <c r="AT44">
        <v>300</v>
      </c>
      <c r="AU44">
        <v>350</v>
      </c>
      <c r="AV44">
        <v>400</v>
      </c>
      <c r="AW44">
        <v>450</v>
      </c>
      <c r="AX44">
        <v>500</v>
      </c>
      <c r="AY44">
        <v>550</v>
      </c>
    </row>
    <row r="45" spans="30:51" x14ac:dyDescent="0.25">
      <c r="AD45">
        <v>30</v>
      </c>
      <c r="AE45">
        <v>43.744958157884376</v>
      </c>
      <c r="AF45">
        <v>47.703076426885282</v>
      </c>
      <c r="AG45">
        <v>51.775449377624213</v>
      </c>
      <c r="AH45">
        <v>55.92890541324892</v>
      </c>
      <c r="AI45">
        <v>60.141814177935444</v>
      </c>
      <c r="AJ45">
        <v>64.399468585568812</v>
      </c>
      <c r="AS45">
        <v>30</v>
      </c>
      <c r="AT45">
        <v>0.6857933179801875</v>
      </c>
      <c r="AU45">
        <v>0.62889025713008539</v>
      </c>
      <c r="AV45">
        <v>0.57942519786153901</v>
      </c>
      <c r="AW45">
        <v>0.53639526427944972</v>
      </c>
      <c r="AX45">
        <v>0.49882100182814681</v>
      </c>
      <c r="AY45">
        <v>0.46584235334393209</v>
      </c>
    </row>
    <row r="46" spans="30:51" x14ac:dyDescent="0.25">
      <c r="AD46">
        <v>35</v>
      </c>
      <c r="AE46">
        <v>47.23102252466952</v>
      </c>
      <c r="AF46">
        <v>51.035784727753139</v>
      </c>
      <c r="AG46">
        <v>54.984605649286685</v>
      </c>
      <c r="AH46">
        <v>59.036204397837011</v>
      </c>
      <c r="AI46">
        <v>63.163926049383498</v>
      </c>
      <c r="AJ46">
        <v>67.349495795314226</v>
      </c>
      <c r="AS46">
        <v>35</v>
      </c>
      <c r="AT46">
        <v>0.74103837116206706</v>
      </c>
      <c r="AU46">
        <v>0.68579331515533815</v>
      </c>
      <c r="AV46">
        <v>0.63654180268644067</v>
      </c>
      <c r="AW46">
        <v>0.59285654213370031</v>
      </c>
      <c r="AX46">
        <v>0.55411375114073691</v>
      </c>
      <c r="AY46">
        <v>0.51967723865922522</v>
      </c>
    </row>
    <row r="47" spans="30:51" x14ac:dyDescent="0.25">
      <c r="AD47">
        <v>40</v>
      </c>
      <c r="AE47">
        <v>50.873044042479002</v>
      </c>
      <c r="AF47">
        <v>54.510547541244364</v>
      </c>
      <c r="AG47">
        <v>58.326611519712102</v>
      </c>
      <c r="AH47">
        <v>62.268243485347334</v>
      </c>
      <c r="AI47">
        <v>66.303202091167904</v>
      </c>
      <c r="AJ47">
        <v>70.409610914998254</v>
      </c>
      <c r="AS47">
        <v>40</v>
      </c>
      <c r="AT47">
        <v>0.78627101548317013</v>
      </c>
      <c r="AU47">
        <v>0.7338029391419113</v>
      </c>
      <c r="AV47">
        <v>0.68579331042540637</v>
      </c>
      <c r="AW47">
        <v>0.64238201948658802</v>
      </c>
      <c r="AX47">
        <v>0.60328911332214996</v>
      </c>
      <c r="AY47">
        <v>0.56810426133855307</v>
      </c>
    </row>
    <row r="48" spans="30:51" x14ac:dyDescent="0.25">
      <c r="AD48">
        <v>45</v>
      </c>
      <c r="AE48">
        <v>54.672755835482739</v>
      </c>
      <c r="AF48">
        <v>58.119544266700416</v>
      </c>
      <c r="AG48">
        <v>61.792855986123776</v>
      </c>
      <c r="AH48">
        <v>65.617437815140391</v>
      </c>
      <c r="AI48">
        <v>69.553346154231491</v>
      </c>
      <c r="AJ48">
        <v>73.574682070926585</v>
      </c>
      <c r="AS48">
        <v>45</v>
      </c>
      <c r="AT48">
        <v>0.82307905120807723</v>
      </c>
      <c r="AU48">
        <v>0.77426622262388844</v>
      </c>
      <c r="AV48">
        <v>0.72823952351555366</v>
      </c>
      <c r="AW48">
        <v>0.68579331193600523</v>
      </c>
      <c r="AX48">
        <v>0.64698540743409338</v>
      </c>
      <c r="AY48">
        <v>0.61162343802749486</v>
      </c>
    </row>
    <row r="49" spans="30:51" x14ac:dyDescent="0.25">
      <c r="AD49">
        <v>50</v>
      </c>
      <c r="AE49">
        <v>58.654848690479781</v>
      </c>
      <c r="AF49">
        <v>61.861497927355721</v>
      </c>
      <c r="AG49">
        <v>65.377061944687782</v>
      </c>
      <c r="AH49">
        <v>69.077031131669969</v>
      </c>
      <c r="AI49">
        <v>72.908264300024882</v>
      </c>
      <c r="AJ49">
        <v>76.839506743803383</v>
      </c>
      <c r="AS49">
        <v>50</v>
      </c>
      <c r="AT49">
        <v>0.85244444604825065</v>
      </c>
      <c r="AU49">
        <v>0.80825718217679221</v>
      </c>
      <c r="AV49">
        <v>0.76479423382932799</v>
      </c>
      <c r="AW49">
        <v>0.72382960270387675</v>
      </c>
      <c r="AX49">
        <v>0.68579331136241206</v>
      </c>
      <c r="AY49">
        <v>0.65070693603889107</v>
      </c>
    </row>
    <row r="50" spans="30:51" x14ac:dyDescent="0.25">
      <c r="AD50">
        <v>55</v>
      </c>
      <c r="AE50">
        <v>62.893875089675511</v>
      </c>
      <c r="AF50">
        <v>65.746695201098206</v>
      </c>
      <c r="AG50">
        <v>69.076988062938611</v>
      </c>
      <c r="AH50">
        <v>72.641895831173073</v>
      </c>
      <c r="AI50">
        <v>76.362518323283822</v>
      </c>
      <c r="AJ50">
        <v>80.199090892925767</v>
      </c>
      <c r="AS50">
        <v>55</v>
      </c>
      <c r="AT50">
        <v>0.87448896926099329</v>
      </c>
      <c r="AU50">
        <v>0.83654394843379609</v>
      </c>
      <c r="AV50">
        <v>0.79621305940391418</v>
      </c>
      <c r="AW50">
        <v>0.75713882974400093</v>
      </c>
      <c r="AX50">
        <v>0.7202486404017644</v>
      </c>
      <c r="AY50">
        <v>0.68579330996944587</v>
      </c>
    </row>
    <row r="51" spans="30:51" x14ac:dyDescent="0.25">
      <c r="AD51">
        <v>60</v>
      </c>
      <c r="AE51">
        <v>67.594697110832485</v>
      </c>
      <c r="AF51">
        <v>69.806842069710754</v>
      </c>
      <c r="AG51">
        <v>72.897008456902142</v>
      </c>
      <c r="AH51">
        <v>76.309566133327763</v>
      </c>
      <c r="AI51">
        <v>79.911853537062299</v>
      </c>
      <c r="AJ51">
        <v>83.648965006500944</v>
      </c>
      <c r="AS51">
        <v>60</v>
      </c>
      <c r="AT51">
        <v>0.88764359579302876</v>
      </c>
      <c r="AU51">
        <v>0.85951460087655285</v>
      </c>
      <c r="AV51">
        <v>0.82307904357245243</v>
      </c>
      <c r="AW51">
        <v>0.78627101476593697</v>
      </c>
      <c r="AX51">
        <v>0.7508272846177021</v>
      </c>
      <c r="AY51">
        <v>0.71728323231897717</v>
      </c>
    </row>
    <row r="52" spans="30:51" x14ac:dyDescent="0.25">
      <c r="AD52">
        <v>65</v>
      </c>
      <c r="AE52">
        <v>73.419313337421102</v>
      </c>
      <c r="AF52">
        <v>74.117663941272141</v>
      </c>
      <c r="AG52">
        <v>76.852576590041309</v>
      </c>
      <c r="AH52">
        <v>80.081702148653378</v>
      </c>
      <c r="AI52">
        <v>83.553856575075599</v>
      </c>
      <c r="AJ52">
        <v>87.185545210345651</v>
      </c>
      <c r="AS52">
        <v>65</v>
      </c>
      <c r="AT52">
        <v>0.88532563225254424</v>
      </c>
      <c r="AU52">
        <v>0.87698392722554486</v>
      </c>
      <c r="AV52">
        <v>0.84577515659276958</v>
      </c>
      <c r="AW52">
        <v>0.81167105913086568</v>
      </c>
      <c r="AX52">
        <v>0.77794135021877275</v>
      </c>
      <c r="AY52">
        <v>0.74553642858090352</v>
      </c>
    </row>
    <row r="53" spans="30:51" x14ac:dyDescent="0.25">
      <c r="AD53">
        <v>70</v>
      </c>
      <c r="AE53">
        <v>83.870356749435388</v>
      </c>
      <c r="AF53">
        <v>78.860479796526306</v>
      </c>
      <c r="AG53">
        <v>80.978900294143045</v>
      </c>
      <c r="AH53">
        <v>83.966411729612062</v>
      </c>
      <c r="AI53">
        <v>87.288859147611475</v>
      </c>
      <c r="AJ53">
        <v>90.806578426657623</v>
      </c>
      <c r="AS53">
        <v>70</v>
      </c>
      <c r="AT53">
        <v>0.83462146475812204</v>
      </c>
      <c r="AU53">
        <v>0.8876435976627598</v>
      </c>
      <c r="AV53">
        <v>0.86442270450371728</v>
      </c>
      <c r="AW53">
        <v>0.83366668359502394</v>
      </c>
      <c r="AX53">
        <v>0.80193510012114122</v>
      </c>
      <c r="AY53">
        <v>0.77086926093727215</v>
      </c>
    </row>
    <row r="54" spans="30:51" x14ac:dyDescent="0.25">
      <c r="AD54">
        <v>75</v>
      </c>
      <c r="AE54">
        <v>-200.70038942037593</v>
      </c>
      <c r="AF54">
        <v>84.534700458523716</v>
      </c>
      <c r="AG54">
        <v>85.34994583538392</v>
      </c>
      <c r="AH54">
        <v>87.982272155946674</v>
      </c>
      <c r="AI54">
        <v>91.121260662647686</v>
      </c>
      <c r="AJ54">
        <v>94.511719732339301</v>
      </c>
      <c r="AS54">
        <v>75</v>
      </c>
      <c r="AT54">
        <v>-0.37369135265058773</v>
      </c>
      <c r="AU54">
        <v>0.88720962626227262</v>
      </c>
      <c r="AV54">
        <v>0.87873517980496374</v>
      </c>
      <c r="AW54">
        <v>0.85244445457221341</v>
      </c>
      <c r="AX54">
        <v>0.82307904274577171</v>
      </c>
      <c r="AY54">
        <v>0.79355237860873529</v>
      </c>
    </row>
    <row r="55" spans="30:51" x14ac:dyDescent="0.25">
      <c r="AD55">
        <v>80</v>
      </c>
      <c r="AE55">
        <v>65.489196403222039</v>
      </c>
      <c r="AF55">
        <v>93.052246195999246</v>
      </c>
      <c r="AG55">
        <v>90.126262087936922</v>
      </c>
      <c r="AH55">
        <v>92.165981874575436</v>
      </c>
      <c r="AI55">
        <v>95.061650235248536</v>
      </c>
      <c r="AJ55">
        <v>98.303354984805395</v>
      </c>
      <c r="AS55">
        <v>80</v>
      </c>
      <c r="AT55">
        <v>1.2215755329693438</v>
      </c>
      <c r="AU55">
        <v>0.85973206741826691</v>
      </c>
      <c r="AV55">
        <v>0.88764360294831002</v>
      </c>
      <c r="AW55">
        <v>0.86799921590233176</v>
      </c>
      <c r="AX55">
        <v>0.84155913348889322</v>
      </c>
      <c r="AY55">
        <v>0.81380742307691811</v>
      </c>
    </row>
    <row r="56" spans="30:51" x14ac:dyDescent="0.25">
      <c r="AD56">
        <v>85</v>
      </c>
      <c r="AE56">
        <v>74.979387465674776</v>
      </c>
      <c r="AF56">
        <v>123.55999793517913</v>
      </c>
      <c r="AG56">
        <v>95.700439196939129</v>
      </c>
      <c r="AH56">
        <v>96.588371381656998</v>
      </c>
      <c r="AI56">
        <v>99.130451507763411</v>
      </c>
      <c r="AJ56">
        <v>102.18781881496972</v>
      </c>
      <c r="AS56">
        <v>85</v>
      </c>
      <c r="AT56">
        <v>1.1336448972580979</v>
      </c>
      <c r="AU56">
        <v>0.68792490628392444</v>
      </c>
      <c r="AV56">
        <v>0.88818819133192273</v>
      </c>
      <c r="AW56">
        <v>0.88002312063149946</v>
      </c>
      <c r="AX56">
        <v>0.85745599568204545</v>
      </c>
      <c r="AY56">
        <v>0.83180168620595085</v>
      </c>
    </row>
    <row r="57" spans="30:51" x14ac:dyDescent="0.25">
      <c r="AD57">
        <v>90</v>
      </c>
      <c r="AE57">
        <v>80.525239909932168</v>
      </c>
      <c r="AF57">
        <v>56.931892352747063</v>
      </c>
      <c r="AG57">
        <v>103.29294474434812</v>
      </c>
      <c r="AH57">
        <v>101.39204484449023</v>
      </c>
      <c r="AI57">
        <v>103.36466304389266</v>
      </c>
      <c r="AJ57">
        <v>106.17734914485645</v>
      </c>
      <c r="AS57">
        <v>90</v>
      </c>
      <c r="AT57">
        <v>1.1176619914534298</v>
      </c>
      <c r="AU57">
        <v>1.5808362638354732</v>
      </c>
      <c r="AV57">
        <v>0.87130829915587749</v>
      </c>
      <c r="AW57">
        <v>0.88764360298716982</v>
      </c>
      <c r="AX57">
        <v>0.8707037526140099</v>
      </c>
      <c r="AY57">
        <v>0.8476384155834793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33040-ED83-47E9-BDDE-C3966E798265}">
  <sheetPr codeName="Hoja2"/>
  <dimension ref="B4:S34"/>
  <sheetViews>
    <sheetView topLeftCell="A19" zoomScale="80" zoomScaleNormal="80" workbookViewId="0">
      <selection activeCell="D34" sqref="D34"/>
    </sheetView>
  </sheetViews>
  <sheetFormatPr baseColWidth="10" defaultRowHeight="15" x14ac:dyDescent="0.25"/>
  <sheetData>
    <row r="4" spans="2:19" x14ac:dyDescent="0.25">
      <c r="B4" t="s">
        <v>0</v>
      </c>
      <c r="C4" t="s">
        <v>14</v>
      </c>
      <c r="D4" t="s">
        <v>15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L4" t="s">
        <v>12</v>
      </c>
      <c r="M4" t="s">
        <v>13</v>
      </c>
      <c r="N4" t="s">
        <v>8</v>
      </c>
      <c r="P4" t="s">
        <v>6</v>
      </c>
      <c r="Q4" t="s">
        <v>7</v>
      </c>
      <c r="R4" t="s">
        <v>10</v>
      </c>
      <c r="S4" t="s">
        <v>11</v>
      </c>
    </row>
    <row r="5" spans="2:19" x14ac:dyDescent="0.25">
      <c r="B5">
        <v>0.15</v>
      </c>
      <c r="C5">
        <f t="shared" ref="C5:C22" si="0">B5*C$26</f>
        <v>5.6999999999999995E-2</v>
      </c>
      <c r="D5">
        <f xml:space="preserve"> (8 * PI() * C5 * N5 * COS( G5 * PI()/180 ) * ($C$28 + N5 * COS( G5 * PI()/180 ) )) / ($C$27 * M5^2 * (P5 * COS( J5 * PI()/180 ) - Q5 * SIN( J5 * PI()/180 )) )</f>
        <v>4.9654264796525155E-2</v>
      </c>
      <c r="F5">
        <f xml:space="preserve"> G5 + H5 + I5</f>
        <v>86.684548296080237</v>
      </c>
      <c r="G5">
        <f xml:space="preserve"> ATAN( $C$28 / ($C$29 * C5)) * 180/PI()</f>
        <v>67.846655262222001</v>
      </c>
      <c r="H5">
        <f xml:space="preserve"> ATAN( N5 / L5 ) * 180/PI()</f>
        <v>8.3378930338582311</v>
      </c>
      <c r="I5">
        <v>10.5</v>
      </c>
      <c r="J5">
        <f xml:space="preserve"> G5 + H5</f>
        <v>76.184548296080237</v>
      </c>
      <c r="L5">
        <f xml:space="preserve"> ($C$28^2 + ($C$29 * C5)^2)^0.5</f>
        <v>75.57942841805567</v>
      </c>
      <c r="M5">
        <f xml:space="preserve"> ( L5^2 + N5^2 )^0.5</f>
        <v>76.386829451221502</v>
      </c>
      <c r="N5">
        <v>11.0769</v>
      </c>
      <c r="P5">
        <f xml:space="preserve"> 6.28 * (PI()/180 * I5)</f>
        <v>1.150870108765061</v>
      </c>
      <c r="Q5">
        <f xml:space="preserve"> 0.01 + 0.3 * (PI()/180 * I5)^2</f>
        <v>2.0075221159445385E-2</v>
      </c>
      <c r="R5">
        <f xml:space="preserve"> 0.5 * $C$27 * $C$31 * M5^2 * D5 * (P5 * COS(PI()/180 * J5) - Q5 * SIN(PI()/180 * J5))</f>
        <v>223.31699100857867</v>
      </c>
      <c r="S5">
        <f xml:space="preserve"> 0.5 * $C$27 * $C$31 * M5^2 * D5 * (P5 * SIN(PI()/180 * J5) + Q5 * COS(PI()/180 * J5)) * C5</f>
        <v>55.954362324443117</v>
      </c>
    </row>
    <row r="6" spans="2:19" x14ac:dyDescent="0.25">
      <c r="B6">
        <v>0.2</v>
      </c>
      <c r="C6">
        <f t="shared" si="0"/>
        <v>7.6000000000000012E-2</v>
      </c>
      <c r="D6">
        <f t="shared" ref="D6:D22" si="1" xml:space="preserve"> (8 * PI() * C6 * N6 * COS( G6 * PI()/180 ) * ($C$28 + N6 * COS( G6 * PI()/180 ) )) / ($C$27 * M6^2 * (P6 * COS( J6 * PI()/180 ) - Q6 * SIN( J6 * PI()/180 )) )</f>
        <v>5.0777792996831994E-2</v>
      </c>
      <c r="F6">
        <f t="shared" ref="F6:F22" si="2" xml:space="preserve"> G6 + H6 + I6</f>
        <v>79.921761827345108</v>
      </c>
      <c r="G6">
        <f t="shared" ref="G6:G22" si="3" xml:space="preserve"> ATAN( $C$28 / ($C$29 * C6)) * 180/PI()</f>
        <v>61.504361381755018</v>
      </c>
      <c r="H6">
        <f t="shared" ref="H6:H22" si="4" xml:space="preserve"> ATAN( N6 / L6 ) * 180/PI()</f>
        <v>7.9174004455900855</v>
      </c>
      <c r="I6">
        <v>10.5</v>
      </c>
      <c r="J6">
        <f t="shared" ref="J6:J22" si="5" xml:space="preserve"> G6 + H6</f>
        <v>69.421761827345108</v>
      </c>
      <c r="L6">
        <f t="shared" ref="L6:L22" si="6" xml:space="preserve"> ($C$28^2 + ($C$29 * C6)^2)^0.5</f>
        <v>79.649231006959511</v>
      </c>
      <c r="M6">
        <f t="shared" ref="M6:M22" si="7" xml:space="preserve"> ( L6^2 + N6^2 )^0.5</f>
        <v>80.415780252447973</v>
      </c>
      <c r="N6">
        <v>11.0769</v>
      </c>
      <c r="P6">
        <f t="shared" ref="P6:P22" si="8" xml:space="preserve"> 6.28 * (PI()/180 * I6)</f>
        <v>1.150870108765061</v>
      </c>
      <c r="Q6">
        <f t="shared" ref="Q6:Q22" si="9" xml:space="preserve"> 0.01 + 0.3 * (PI()/180 * I6)^2</f>
        <v>2.0075221159445385E-2</v>
      </c>
      <c r="R6">
        <f t="shared" ref="R6:R22" si="10" xml:space="preserve"> 0.5 * $C$27 * $C$31 * M6^2 * D6 * (P6 * COS(PI()/180 * J6) - Q6 * SIN(PI()/180 * J6))</f>
        <v>382.3481472456877</v>
      </c>
      <c r="S6">
        <f t="shared" ref="S6:S22" si="11" xml:space="preserve"> 0.5 * $C$27 * $C$31 * M6^2 * D6 * (P6 * SIN(PI()/180 * J6) + Q6 * COS(PI()/180 * J6)) * C6</f>
        <v>81.700832283504383</v>
      </c>
    </row>
    <row r="7" spans="2:19" x14ac:dyDescent="0.25">
      <c r="B7">
        <v>0.25</v>
      </c>
      <c r="C7">
        <f t="shared" si="0"/>
        <v>9.5000000000000001E-2</v>
      </c>
      <c r="D7">
        <f t="shared" si="1"/>
        <v>5.1919710085110135E-2</v>
      </c>
      <c r="F7">
        <f t="shared" si="2"/>
        <v>73.800227600059145</v>
      </c>
      <c r="G7">
        <f t="shared" si="3"/>
        <v>55.840305454330569</v>
      </c>
      <c r="H7">
        <f t="shared" si="4"/>
        <v>7.4599221457285667</v>
      </c>
      <c r="I7">
        <v>10.5</v>
      </c>
      <c r="J7">
        <f t="shared" si="5"/>
        <v>63.300227600059138</v>
      </c>
      <c r="L7">
        <f t="shared" si="6"/>
        <v>84.594621578443153</v>
      </c>
      <c r="M7">
        <f t="shared" si="7"/>
        <v>85.316749314598241</v>
      </c>
      <c r="N7">
        <v>11.0769</v>
      </c>
      <c r="P7">
        <f t="shared" si="8"/>
        <v>1.150870108765061</v>
      </c>
      <c r="Q7">
        <f t="shared" si="9"/>
        <v>2.0075221159445385E-2</v>
      </c>
      <c r="R7">
        <f t="shared" si="10"/>
        <v>569.47982197611066</v>
      </c>
      <c r="S7">
        <f t="shared" si="11"/>
        <v>112.41052993703755</v>
      </c>
    </row>
    <row r="8" spans="2:19" x14ac:dyDescent="0.25">
      <c r="B8">
        <v>0.3</v>
      </c>
      <c r="C8">
        <f t="shared" si="0"/>
        <v>0.11399999999999999</v>
      </c>
      <c r="D8">
        <f t="shared" si="1"/>
        <v>5.2197256065484705E-2</v>
      </c>
      <c r="F8">
        <f t="shared" si="2"/>
        <v>68.340135897375603</v>
      </c>
      <c r="G8">
        <f t="shared" si="3"/>
        <v>50.84456587738687</v>
      </c>
      <c r="H8">
        <f t="shared" si="4"/>
        <v>6.995570019988727</v>
      </c>
      <c r="I8">
        <v>10.5</v>
      </c>
      <c r="J8">
        <f t="shared" si="5"/>
        <v>57.840135897375596</v>
      </c>
      <c r="L8">
        <f t="shared" si="6"/>
        <v>90.271811768680038</v>
      </c>
      <c r="M8">
        <f t="shared" si="7"/>
        <v>90.948874174505306</v>
      </c>
      <c r="N8">
        <v>11.0769</v>
      </c>
      <c r="P8">
        <f t="shared" si="8"/>
        <v>1.150870108765061</v>
      </c>
      <c r="Q8">
        <f t="shared" si="9"/>
        <v>2.0075221159445385E-2</v>
      </c>
      <c r="R8">
        <f t="shared" si="10"/>
        <v>776.28731896275724</v>
      </c>
      <c r="S8">
        <f t="shared" si="11"/>
        <v>146.35297225969822</v>
      </c>
    </row>
    <row r="9" spans="2:19" x14ac:dyDescent="0.25">
      <c r="B9">
        <v>0.35</v>
      </c>
      <c r="C9">
        <f t="shared" si="0"/>
        <v>0.13299999999999998</v>
      </c>
      <c r="D9">
        <f t="shared" si="1"/>
        <v>5.1649685195730648E-2</v>
      </c>
      <c r="F9">
        <f t="shared" si="2"/>
        <v>63.513442899404566</v>
      </c>
      <c r="G9">
        <f t="shared" si="3"/>
        <v>46.468800714385829</v>
      </c>
      <c r="H9">
        <f t="shared" si="4"/>
        <v>6.5446421850187395</v>
      </c>
      <c r="I9">
        <v>10.5</v>
      </c>
      <c r="J9">
        <f t="shared" si="5"/>
        <v>53.013442899404566</v>
      </c>
      <c r="L9">
        <f t="shared" si="6"/>
        <v>96.551799568936048</v>
      </c>
      <c r="M9">
        <f t="shared" si="7"/>
        <v>97.185120844756881</v>
      </c>
      <c r="N9">
        <v>11.0769</v>
      </c>
      <c r="P9">
        <f t="shared" si="8"/>
        <v>1.150870108765061</v>
      </c>
      <c r="Q9">
        <f t="shared" si="9"/>
        <v>2.0075221159445385E-2</v>
      </c>
      <c r="R9">
        <f t="shared" si="10"/>
        <v>996.03533321252337</v>
      </c>
      <c r="S9">
        <f t="shared" si="11"/>
        <v>182.41858972963962</v>
      </c>
    </row>
    <row r="10" spans="2:19" x14ac:dyDescent="0.25">
      <c r="B10">
        <v>0.4</v>
      </c>
      <c r="C10">
        <f t="shared" si="0"/>
        <v>0.15200000000000002</v>
      </c>
      <c r="D10">
        <f t="shared" si="1"/>
        <v>5.0492902403591257E-2</v>
      </c>
      <c r="F10">
        <f t="shared" si="2"/>
        <v>59.2657115679405</v>
      </c>
      <c r="G10">
        <f t="shared" si="3"/>
        <v>42.646703133891691</v>
      </c>
      <c r="H10">
        <f t="shared" si="4"/>
        <v>6.1190084340488102</v>
      </c>
      <c r="I10">
        <v>10.5</v>
      </c>
      <c r="J10">
        <f t="shared" si="5"/>
        <v>48.7657115679405</v>
      </c>
      <c r="L10">
        <f t="shared" si="6"/>
        <v>103.32473082471593</v>
      </c>
      <c r="M10">
        <f t="shared" si="7"/>
        <v>103.9167826369254</v>
      </c>
      <c r="N10">
        <v>11.0769</v>
      </c>
      <c r="P10">
        <f t="shared" si="8"/>
        <v>1.150870108765061</v>
      </c>
      <c r="Q10">
        <f t="shared" si="9"/>
        <v>2.0075221159445385E-2</v>
      </c>
      <c r="R10">
        <f t="shared" si="10"/>
        <v>1223.7846138505226</v>
      </c>
      <c r="S10">
        <f t="shared" si="11"/>
        <v>219.84717686192013</v>
      </c>
    </row>
    <row r="11" spans="2:19" x14ac:dyDescent="0.25">
      <c r="B11">
        <v>0.45</v>
      </c>
      <c r="C11">
        <f t="shared" si="0"/>
        <v>0.17100000000000001</v>
      </c>
      <c r="D11">
        <f t="shared" si="1"/>
        <v>4.8942260386678225E-2</v>
      </c>
      <c r="F11">
        <f t="shared" si="2"/>
        <v>55.532050843600075</v>
      </c>
      <c r="G11">
        <f t="shared" si="3"/>
        <v>39.307648116106613</v>
      </c>
      <c r="H11">
        <f t="shared" si="4"/>
        <v>5.7244027274934597</v>
      </c>
      <c r="I11">
        <v>10.5</v>
      </c>
      <c r="J11">
        <f t="shared" si="5"/>
        <v>45.032050843600075</v>
      </c>
      <c r="L11">
        <f t="shared" si="6"/>
        <v>110.5</v>
      </c>
      <c r="M11">
        <f t="shared" si="7"/>
        <v>111.05380548909613</v>
      </c>
      <c r="N11">
        <v>11.0769</v>
      </c>
      <c r="P11">
        <f t="shared" si="8"/>
        <v>1.150870108765061</v>
      </c>
      <c r="Q11">
        <f t="shared" si="9"/>
        <v>2.0075221159445385E-2</v>
      </c>
      <c r="R11">
        <f t="shared" si="10"/>
        <v>1456.1223587951131</v>
      </c>
      <c r="S11">
        <f t="shared" si="11"/>
        <v>258.12671302151421</v>
      </c>
    </row>
    <row r="12" spans="2:19" x14ac:dyDescent="0.25">
      <c r="B12">
        <v>0.5</v>
      </c>
      <c r="C12">
        <f t="shared" si="0"/>
        <v>0.19</v>
      </c>
      <c r="D12">
        <f t="shared" si="1"/>
        <v>4.716819831992896E-2</v>
      </c>
      <c r="F12">
        <f t="shared" si="2"/>
        <v>52.246916450008293</v>
      </c>
      <c r="G12">
        <f t="shared" si="3"/>
        <v>36.384351815835885</v>
      </c>
      <c r="H12">
        <f t="shared" si="4"/>
        <v>5.3625646341724105</v>
      </c>
      <c r="I12">
        <v>10.5</v>
      </c>
      <c r="J12">
        <f t="shared" si="5"/>
        <v>41.746916450008293</v>
      </c>
      <c r="L12">
        <f t="shared" si="6"/>
        <v>118.00423721205946</v>
      </c>
      <c r="M12">
        <f t="shared" si="7"/>
        <v>118.52298390443096</v>
      </c>
      <c r="N12">
        <v>11.0769</v>
      </c>
      <c r="P12">
        <f t="shared" si="8"/>
        <v>1.150870108765061</v>
      </c>
      <c r="Q12">
        <f t="shared" si="9"/>
        <v>2.0075221159445385E-2</v>
      </c>
      <c r="R12">
        <f t="shared" si="10"/>
        <v>1690.790194881946</v>
      </c>
      <c r="S12">
        <f t="shared" si="11"/>
        <v>296.92163365263389</v>
      </c>
    </row>
    <row r="13" spans="2:19" x14ac:dyDescent="0.25">
      <c r="B13">
        <v>0.55000000000000004</v>
      </c>
      <c r="C13">
        <f t="shared" si="0"/>
        <v>0.20900000000000002</v>
      </c>
      <c r="D13">
        <f t="shared" si="1"/>
        <v>4.5292776484588293E-2</v>
      </c>
      <c r="F13">
        <f t="shared" si="2"/>
        <v>49.349272608727567</v>
      </c>
      <c r="G13">
        <f t="shared" si="3"/>
        <v>33.816408621127479</v>
      </c>
      <c r="H13">
        <f t="shared" si="4"/>
        <v>5.0328639876000887</v>
      </c>
      <c r="I13">
        <v>10.5</v>
      </c>
      <c r="J13">
        <f t="shared" si="5"/>
        <v>38.849272608727567</v>
      </c>
      <c r="L13">
        <f t="shared" si="6"/>
        <v>125.7785752821203</v>
      </c>
      <c r="M13">
        <f t="shared" si="7"/>
        <v>126.26538604704776</v>
      </c>
      <c r="N13">
        <v>11.0769</v>
      </c>
      <c r="P13">
        <f t="shared" si="8"/>
        <v>1.150870108765061</v>
      </c>
      <c r="Q13">
        <f t="shared" si="9"/>
        <v>2.0075221159445385E-2</v>
      </c>
      <c r="R13">
        <f t="shared" si="10"/>
        <v>1926.3448044930285</v>
      </c>
      <c r="S13">
        <f t="shared" si="11"/>
        <v>336.01783151662733</v>
      </c>
    </row>
    <row r="14" spans="2:19" x14ac:dyDescent="0.25">
      <c r="B14">
        <v>0.6</v>
      </c>
      <c r="C14">
        <f t="shared" si="0"/>
        <v>0.22799999999999998</v>
      </c>
      <c r="D14">
        <f t="shared" si="1"/>
        <v>4.3398175693652397E-2</v>
      </c>
      <c r="F14">
        <f t="shared" si="2"/>
        <v>46.784785843129967</v>
      </c>
      <c r="G14">
        <f t="shared" si="3"/>
        <v>31.55138494831348</v>
      </c>
      <c r="H14">
        <f t="shared" si="4"/>
        <v>4.7334008948164845</v>
      </c>
      <c r="I14">
        <v>10.5</v>
      </c>
      <c r="J14">
        <f t="shared" si="5"/>
        <v>36.284785843129967</v>
      </c>
      <c r="L14">
        <f t="shared" si="6"/>
        <v>133.77593206552513</v>
      </c>
      <c r="M14">
        <f t="shared" si="7"/>
        <v>134.23374282798642</v>
      </c>
      <c r="N14">
        <v>11.0769</v>
      </c>
      <c r="P14">
        <f t="shared" si="8"/>
        <v>1.150870108765061</v>
      </c>
      <c r="Q14">
        <f t="shared" si="9"/>
        <v>2.0075221159445385E-2</v>
      </c>
      <c r="R14">
        <f t="shared" si="10"/>
        <v>2161.894135067163</v>
      </c>
      <c r="S14">
        <f t="shared" si="11"/>
        <v>375.28242181213579</v>
      </c>
    </row>
    <row r="15" spans="2:19" x14ac:dyDescent="0.25">
      <c r="B15">
        <v>0.65</v>
      </c>
      <c r="C15">
        <f t="shared" si="0"/>
        <v>0.24700000000000003</v>
      </c>
      <c r="D15">
        <f t="shared" si="1"/>
        <v>4.1536997766303471E-2</v>
      </c>
      <c r="F15">
        <f t="shared" si="2"/>
        <v>44.506331059225197</v>
      </c>
      <c r="G15">
        <f t="shared" si="3"/>
        <v>29.544634739569723</v>
      </c>
      <c r="H15">
        <f t="shared" si="4"/>
        <v>4.4616963196554735</v>
      </c>
      <c r="I15">
        <v>10.5</v>
      </c>
      <c r="J15">
        <f t="shared" si="5"/>
        <v>34.006331059225197</v>
      </c>
      <c r="L15">
        <f t="shared" si="6"/>
        <v>141.95862073153572</v>
      </c>
      <c r="M15">
        <f t="shared" si="7"/>
        <v>142.39012505651507</v>
      </c>
      <c r="N15">
        <v>11.0769</v>
      </c>
      <c r="P15">
        <f t="shared" si="8"/>
        <v>1.150870108765061</v>
      </c>
      <c r="Q15">
        <f t="shared" si="9"/>
        <v>2.0075221159445385E-2</v>
      </c>
      <c r="R15">
        <f t="shared" si="10"/>
        <v>2396.9085844547626</v>
      </c>
      <c r="S15">
        <f t="shared" si="11"/>
        <v>414.63567682421598</v>
      </c>
    </row>
    <row r="16" spans="2:19" x14ac:dyDescent="0.25">
      <c r="B16">
        <v>0.7</v>
      </c>
      <c r="C16">
        <f t="shared" si="0"/>
        <v>0.26599999999999996</v>
      </c>
      <c r="D16">
        <f t="shared" si="1"/>
        <v>3.9741101538114783E-2</v>
      </c>
      <c r="F16">
        <f t="shared" si="2"/>
        <v>42.473640612816538</v>
      </c>
      <c r="G16">
        <f t="shared" si="3"/>
        <v>27.75854060106003</v>
      </c>
      <c r="H16">
        <f t="shared" si="4"/>
        <v>4.2151000117565065</v>
      </c>
      <c r="I16">
        <v>10.5</v>
      </c>
      <c r="J16">
        <f t="shared" si="5"/>
        <v>31.973640612816538</v>
      </c>
      <c r="L16">
        <f t="shared" si="6"/>
        <v>150.2963738750872</v>
      </c>
      <c r="M16">
        <f t="shared" si="7"/>
        <v>150.7040069593705</v>
      </c>
      <c r="N16">
        <v>11.0769</v>
      </c>
      <c r="P16">
        <f t="shared" si="8"/>
        <v>1.150870108765061</v>
      </c>
      <c r="Q16">
        <f t="shared" si="9"/>
        <v>2.0075221159445385E-2</v>
      </c>
      <c r="R16">
        <f t="shared" si="10"/>
        <v>2631.0920439918559</v>
      </c>
      <c r="S16">
        <f t="shared" si="11"/>
        <v>454.03209177882553</v>
      </c>
    </row>
    <row r="17" spans="2:19" x14ac:dyDescent="0.25">
      <c r="B17">
        <v>0.75</v>
      </c>
      <c r="C17">
        <f t="shared" si="0"/>
        <v>0.28500000000000003</v>
      </c>
      <c r="D17">
        <f t="shared" si="1"/>
        <v>3.8028306960020006E-2</v>
      </c>
      <c r="F17">
        <f t="shared" si="2"/>
        <v>40.652583194960357</v>
      </c>
      <c r="G17">
        <f t="shared" si="3"/>
        <v>26.161566442019236</v>
      </c>
      <c r="H17">
        <f t="shared" si="4"/>
        <v>3.9910167529411216</v>
      </c>
      <c r="I17">
        <v>10.5</v>
      </c>
      <c r="J17">
        <f t="shared" si="5"/>
        <v>30.152583194960357</v>
      </c>
      <c r="L17">
        <f t="shared" si="6"/>
        <v>158.76476309307429</v>
      </c>
      <c r="M17">
        <f t="shared" si="7"/>
        <v>159.15070754982526</v>
      </c>
      <c r="N17">
        <v>11.0769</v>
      </c>
      <c r="P17">
        <f t="shared" si="8"/>
        <v>1.150870108765061</v>
      </c>
      <c r="Q17">
        <f t="shared" si="9"/>
        <v>2.0075221159445385E-2</v>
      </c>
      <c r="R17">
        <f t="shared" si="10"/>
        <v>2864.2962476865073</v>
      </c>
      <c r="S17">
        <f t="shared" si="11"/>
        <v>493.44788361705832</v>
      </c>
    </row>
    <row r="18" spans="2:19" x14ac:dyDescent="0.25">
      <c r="B18">
        <v>0.8</v>
      </c>
      <c r="C18">
        <f t="shared" si="0"/>
        <v>0.30400000000000005</v>
      </c>
      <c r="D18">
        <f t="shared" si="1"/>
        <v>3.6407184298144685E-2</v>
      </c>
      <c r="F18">
        <f t="shared" si="2"/>
        <v>39.014335760189013</v>
      </c>
      <c r="G18">
        <f t="shared" si="3"/>
        <v>24.727314386690136</v>
      </c>
      <c r="H18">
        <f t="shared" si="4"/>
        <v>3.7870213734988774</v>
      </c>
      <c r="I18">
        <v>10.5</v>
      </c>
      <c r="J18">
        <f t="shared" si="5"/>
        <v>28.514335760189013</v>
      </c>
      <c r="L18">
        <f t="shared" si="6"/>
        <v>167.34395716607159</v>
      </c>
      <c r="M18">
        <f t="shared" si="7"/>
        <v>167.71015984015401</v>
      </c>
      <c r="N18">
        <v>11.0769</v>
      </c>
      <c r="P18">
        <f t="shared" si="8"/>
        <v>1.150870108765061</v>
      </c>
      <c r="Q18">
        <f t="shared" si="9"/>
        <v>2.0075221159445385E-2</v>
      </c>
      <c r="R18">
        <f t="shared" si="10"/>
        <v>3096.4648558447911</v>
      </c>
      <c r="S18">
        <f t="shared" si="11"/>
        <v>532.87284941791688</v>
      </c>
    </row>
    <row r="19" spans="2:19" x14ac:dyDescent="0.25">
      <c r="B19">
        <v>0.85</v>
      </c>
      <c r="C19">
        <f t="shared" si="0"/>
        <v>0.32300000000000001</v>
      </c>
      <c r="D19">
        <f t="shared" si="1"/>
        <v>3.4880360465844432E-2</v>
      </c>
      <c r="F19">
        <f t="shared" si="2"/>
        <v>37.534579054327267</v>
      </c>
      <c r="G19">
        <f t="shared" si="3"/>
        <v>23.433670721809602</v>
      </c>
      <c r="H19">
        <f t="shared" si="4"/>
        <v>3.6009083325176672</v>
      </c>
      <c r="I19">
        <v>10.5</v>
      </c>
      <c r="J19">
        <f t="shared" si="5"/>
        <v>27.034579054327267</v>
      </c>
      <c r="L19">
        <f t="shared" si="6"/>
        <v>176.0177547862715</v>
      </c>
      <c r="M19">
        <f t="shared" si="7"/>
        <v>176.36594828256958</v>
      </c>
      <c r="N19">
        <v>11.0769</v>
      </c>
      <c r="P19">
        <f t="shared" si="8"/>
        <v>1.150870108765061</v>
      </c>
      <c r="Q19">
        <f t="shared" si="9"/>
        <v>2.0075221159445385E-2</v>
      </c>
      <c r="R19">
        <f t="shared" si="10"/>
        <v>3327.5973627395274</v>
      </c>
      <c r="S19">
        <f t="shared" si="11"/>
        <v>572.30511176991115</v>
      </c>
    </row>
    <row r="20" spans="2:19" x14ac:dyDescent="0.25">
      <c r="B20">
        <v>0.9</v>
      </c>
      <c r="C20">
        <f t="shared" si="0"/>
        <v>0.34200000000000003</v>
      </c>
      <c r="D20">
        <f t="shared" si="1"/>
        <v>3.3446752986061229E-2</v>
      </c>
      <c r="F20">
        <f t="shared" si="2"/>
        <v>36.192773497750338</v>
      </c>
      <c r="G20">
        <f t="shared" si="3"/>
        <v>22.262069144125611</v>
      </c>
      <c r="H20">
        <f t="shared" si="4"/>
        <v>3.4307043536247219</v>
      </c>
      <c r="I20">
        <v>10.5</v>
      </c>
      <c r="J20">
        <f t="shared" si="5"/>
        <v>25.692773497750334</v>
      </c>
      <c r="L20">
        <f t="shared" si="6"/>
        <v>184.77283350103176</v>
      </c>
      <c r="M20">
        <f t="shared" si="7"/>
        <v>185.10455886771132</v>
      </c>
      <c r="N20">
        <v>11.0769</v>
      </c>
      <c r="P20">
        <f t="shared" si="8"/>
        <v>1.150870108765061</v>
      </c>
      <c r="Q20">
        <f t="shared" si="9"/>
        <v>2.0075221159445385E-2</v>
      </c>
      <c r="R20">
        <f t="shared" si="10"/>
        <v>3557.7260009399852</v>
      </c>
      <c r="S20">
        <f t="shared" si="11"/>
        <v>611.74775039979579</v>
      </c>
    </row>
    <row r="21" spans="2:19" x14ac:dyDescent="0.25">
      <c r="B21">
        <v>0.95</v>
      </c>
      <c r="C21">
        <f t="shared" si="0"/>
        <v>0.36099999999999999</v>
      </c>
      <c r="D21">
        <f t="shared" si="1"/>
        <v>3.2103056371663045E-2</v>
      </c>
      <c r="F21">
        <f t="shared" si="2"/>
        <v>34.971533438931573</v>
      </c>
      <c r="G21">
        <f t="shared" si="3"/>
        <v>21.196872137322273</v>
      </c>
      <c r="H21">
        <f t="shared" si="4"/>
        <v>3.2746613016092994</v>
      </c>
      <c r="I21">
        <v>10.5</v>
      </c>
      <c r="J21">
        <f t="shared" si="5"/>
        <v>24.471533438931573</v>
      </c>
      <c r="L21">
        <f t="shared" si="6"/>
        <v>193.59816631363014</v>
      </c>
      <c r="M21">
        <f t="shared" si="7"/>
        <v>193.9147949838021</v>
      </c>
      <c r="N21">
        <v>11.0769</v>
      </c>
      <c r="P21">
        <f t="shared" si="8"/>
        <v>1.150870108765061</v>
      </c>
      <c r="Q21">
        <f t="shared" si="9"/>
        <v>2.0075221159445385E-2</v>
      </c>
      <c r="R21">
        <f t="shared" si="10"/>
        <v>3786.9010852404285</v>
      </c>
      <c r="S21">
        <f t="shared" si="11"/>
        <v>651.20665706995226</v>
      </c>
    </row>
    <row r="22" spans="2:19" x14ac:dyDescent="0.25">
      <c r="B22">
        <v>1</v>
      </c>
      <c r="C22">
        <f t="shared" si="0"/>
        <v>0.38</v>
      </c>
      <c r="D22">
        <f t="shared" si="1"/>
        <v>3.0844718295575342E-2</v>
      </c>
      <c r="F22">
        <f t="shared" si="2"/>
        <v>33.856098828737871</v>
      </c>
      <c r="G22">
        <f t="shared" si="3"/>
        <v>20.224859431168078</v>
      </c>
      <c r="H22">
        <f t="shared" si="4"/>
        <v>3.1312393975697921</v>
      </c>
      <c r="I22">
        <v>10.5</v>
      </c>
      <c r="J22">
        <f t="shared" si="5"/>
        <v>23.356098828737871</v>
      </c>
      <c r="L22">
        <f t="shared" si="6"/>
        <v>202.48456731316588</v>
      </c>
      <c r="M22">
        <f t="shared" si="7"/>
        <v>202.78732138279753</v>
      </c>
      <c r="N22">
        <v>11.0769</v>
      </c>
      <c r="P22">
        <f t="shared" si="8"/>
        <v>1.150870108765061</v>
      </c>
      <c r="Q22">
        <f t="shared" si="9"/>
        <v>2.0075221159445385E-2</v>
      </c>
      <c r="R22">
        <f t="shared" si="10"/>
        <v>4015.1818068932625</v>
      </c>
      <c r="S22">
        <f t="shared" si="11"/>
        <v>690.68918060884346</v>
      </c>
    </row>
    <row r="23" spans="2:19" x14ac:dyDescent="0.25">
      <c r="C23">
        <f>(C22-C5)/17</f>
        <v>1.9E-2</v>
      </c>
    </row>
    <row r="26" spans="2:19" x14ac:dyDescent="0.25">
      <c r="B26" t="s">
        <v>19</v>
      </c>
      <c r="C26">
        <v>0.38</v>
      </c>
      <c r="E26" t="s">
        <v>22</v>
      </c>
      <c r="F26">
        <f xml:space="preserve"> (C23/2) * (R5 + 2 * SUM(R6:R21) + R22)</f>
        <v>664.30312385833918</v>
      </c>
    </row>
    <row r="27" spans="2:19" x14ac:dyDescent="0.25">
      <c r="B27" t="s">
        <v>20</v>
      </c>
      <c r="C27">
        <v>6</v>
      </c>
      <c r="E27" t="s">
        <v>23</v>
      </c>
      <c r="F27">
        <f xml:space="preserve"> (C23/2) * (S5 + 2 * SUM(S6:S21) + S22)</f>
        <v>116.14032137496159</v>
      </c>
    </row>
    <row r="28" spans="2:19" x14ac:dyDescent="0.25">
      <c r="B28" s="1" t="s">
        <v>16</v>
      </c>
      <c r="C28">
        <v>70</v>
      </c>
      <c r="E28" t="s">
        <v>24</v>
      </c>
      <c r="F28">
        <f xml:space="preserve"> F27 * C29</f>
        <v>58070.160687480791</v>
      </c>
    </row>
    <row r="29" spans="2:19" x14ac:dyDescent="0.25">
      <c r="B29" s="1" t="s">
        <v>21</v>
      </c>
      <c r="C29">
        <v>500</v>
      </c>
      <c r="E29" t="s">
        <v>25</v>
      </c>
      <c r="F29">
        <f xml:space="preserve"> F26 *C28</f>
        <v>46501.218670083741</v>
      </c>
    </row>
    <row r="30" spans="2:19" x14ac:dyDescent="0.25">
      <c r="B30" s="1" t="s">
        <v>17</v>
      </c>
      <c r="C30">
        <v>2000</v>
      </c>
      <c r="E30" t="s">
        <v>26</v>
      </c>
      <c r="F30">
        <f xml:space="preserve"> F28 / F26</f>
        <v>87.415155223421905</v>
      </c>
    </row>
    <row r="31" spans="2:19" x14ac:dyDescent="0.25">
      <c r="B31" s="1" t="s">
        <v>18</v>
      </c>
      <c r="C31">
        <f xml:space="preserve"> 1.225 * (1 - (0.0065/288) * C30) ^( (9.81/(287*0.0065) - 1 ) )</f>
        <v>1.0062562057514428</v>
      </c>
      <c r="E31" t="s">
        <v>27</v>
      </c>
      <c r="F31">
        <f xml:space="preserve"> F29 / F28</f>
        <v>0.80077647658565598</v>
      </c>
    </row>
    <row r="32" spans="2:19" x14ac:dyDescent="0.25">
      <c r="C32" s="1"/>
    </row>
    <row r="33" spans="3:3" x14ac:dyDescent="0.25">
      <c r="C33" s="1"/>
    </row>
    <row r="34" spans="3:3" x14ac:dyDescent="0.25">
      <c r="C34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actuaciones</vt:lpstr>
      <vt:lpstr>diseño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Emilio Martín Pedrero</dc:creator>
  <cp:lastModifiedBy>Emilio Martín Pedrero</cp:lastModifiedBy>
  <dcterms:created xsi:type="dcterms:W3CDTF">2020-05-21T13:56:06Z</dcterms:created>
  <dcterms:modified xsi:type="dcterms:W3CDTF">2020-06-11T19:43:32Z</dcterms:modified>
</cp:coreProperties>
</file>