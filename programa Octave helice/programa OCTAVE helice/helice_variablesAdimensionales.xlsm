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ili\Desktop\pragrama Octave helice\programa OCTAVE helice ULTIMA VERSION\"/>
    </mc:Choice>
  </mc:AlternateContent>
  <xr:revisionPtr revIDLastSave="0" documentId="13_ncr:1_{BB409C82-D25E-4AA4-99D3-9D631A70528A}" xr6:coauthVersionLast="45" xr6:coauthVersionMax="45" xr10:uidLastSave="{00000000-0000-0000-0000-000000000000}"/>
  <bookViews>
    <workbookView xWindow="-120" yWindow="-120" windowWidth="24240" windowHeight="13140" activeTab="1" xr2:uid="{58D10062-D994-4CD0-82E5-934464AF1066}"/>
  </bookViews>
  <sheets>
    <sheet name="actuaciones" sheetId="1" r:id="rId1"/>
    <sheet name="diseñ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8" i="2" l="1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7" i="2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6" i="1"/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6" i="1"/>
  <c r="H6" i="1" l="1"/>
  <c r="C25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7" i="2"/>
  <c r="F20" i="2" l="1"/>
  <c r="F16" i="2"/>
  <c r="F12" i="2"/>
  <c r="J7" i="2"/>
  <c r="D7" i="2" s="1"/>
  <c r="F17" i="2"/>
  <c r="F9" i="2"/>
  <c r="F24" i="2"/>
  <c r="F8" i="2"/>
  <c r="J23" i="2"/>
  <c r="J15" i="2"/>
  <c r="F13" i="2"/>
  <c r="F21" i="2"/>
  <c r="F19" i="2"/>
  <c r="J11" i="2"/>
  <c r="F22" i="2"/>
  <c r="F18" i="2"/>
  <c r="F14" i="2"/>
  <c r="F10" i="2"/>
  <c r="J18" i="2"/>
  <c r="D18" i="2" s="1"/>
  <c r="J14" i="2"/>
  <c r="D14" i="2" s="1"/>
  <c r="J10" i="2"/>
  <c r="D10" i="2" s="1"/>
  <c r="J22" i="2"/>
  <c r="D22" i="2" s="1"/>
  <c r="J24" i="2"/>
  <c r="D24" i="2" s="1"/>
  <c r="J20" i="2"/>
  <c r="D20" i="2" s="1"/>
  <c r="J16" i="2"/>
  <c r="D16" i="2" s="1"/>
  <c r="J12" i="2"/>
  <c r="D12" i="2" s="1"/>
  <c r="J8" i="2"/>
  <c r="D8" i="2" s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D11" i="2" l="1"/>
  <c r="S11" i="2" s="1"/>
  <c r="D15" i="2"/>
  <c r="S15" i="2" s="1"/>
  <c r="D23" i="2"/>
  <c r="S23" i="2" s="1"/>
  <c r="S10" i="2"/>
  <c r="F7" i="2"/>
  <c r="F15" i="2"/>
  <c r="S8" i="2"/>
  <c r="S22" i="2"/>
  <c r="S7" i="2"/>
  <c r="R7" i="2"/>
  <c r="S24" i="2"/>
  <c r="F11" i="2"/>
  <c r="J13" i="2"/>
  <c r="J17" i="2"/>
  <c r="S18" i="2"/>
  <c r="J21" i="2"/>
  <c r="J9" i="2"/>
  <c r="F23" i="2"/>
  <c r="J19" i="2"/>
  <c r="D19" i="2" s="1"/>
  <c r="S14" i="2"/>
  <c r="S20" i="2"/>
  <c r="S12" i="2"/>
  <c r="R8" i="2"/>
  <c r="S16" i="2"/>
  <c r="D24" i="1"/>
  <c r="R15" i="2" l="1"/>
  <c r="D17" i="2"/>
  <c r="S17" i="2" s="1"/>
  <c r="D9" i="2"/>
  <c r="R9" i="2" s="1"/>
  <c r="D13" i="2"/>
  <c r="S13" i="2" s="1"/>
  <c r="R23" i="2"/>
  <c r="D21" i="2"/>
  <c r="S21" i="2" s="1"/>
  <c r="R11" i="2"/>
  <c r="R10" i="2"/>
  <c r="R22" i="2"/>
  <c r="R24" i="2"/>
  <c r="R18" i="2"/>
  <c r="S19" i="2"/>
  <c r="R19" i="2"/>
  <c r="R14" i="2"/>
  <c r="R13" i="2"/>
  <c r="R16" i="2"/>
  <c r="R12" i="2"/>
  <c r="R17" i="2"/>
  <c r="R20" i="2"/>
  <c r="M6" i="1"/>
  <c r="M7" i="1"/>
  <c r="J7" i="1" s="1"/>
  <c r="M8" i="1"/>
  <c r="J8" i="1" s="1"/>
  <c r="M9" i="1"/>
  <c r="J9" i="1" s="1"/>
  <c r="M10" i="1"/>
  <c r="K10" i="1" s="1"/>
  <c r="M11" i="1"/>
  <c r="K11" i="1" s="1"/>
  <c r="M12" i="1"/>
  <c r="K12" i="1" s="1"/>
  <c r="M13" i="1"/>
  <c r="J13" i="1" s="1"/>
  <c r="M14" i="1"/>
  <c r="J14" i="1" s="1"/>
  <c r="M15" i="1"/>
  <c r="J15" i="1" s="1"/>
  <c r="M16" i="1"/>
  <c r="K16" i="1" s="1"/>
  <c r="M17" i="1"/>
  <c r="J17" i="1" s="1"/>
  <c r="M18" i="1"/>
  <c r="K18" i="1" s="1"/>
  <c r="M19" i="1"/>
  <c r="K19" i="1" s="1"/>
  <c r="M20" i="1"/>
  <c r="K20" i="1" s="1"/>
  <c r="M21" i="1"/>
  <c r="J21" i="1" s="1"/>
  <c r="M22" i="1"/>
  <c r="K22" i="1" s="1"/>
  <c r="M23" i="1"/>
  <c r="K23" i="1" s="1"/>
  <c r="S9" i="2" l="1"/>
  <c r="G28" i="2"/>
  <c r="R21" i="2"/>
  <c r="G27" i="2" s="1"/>
  <c r="G29" i="2" s="1"/>
  <c r="G31" i="2" s="1"/>
  <c r="Q21" i="1"/>
  <c r="P21" i="1"/>
  <c r="Q17" i="1"/>
  <c r="P17" i="1"/>
  <c r="Q15" i="1"/>
  <c r="P15" i="1"/>
  <c r="P14" i="1"/>
  <c r="Q14" i="1"/>
  <c r="Q13" i="1"/>
  <c r="P13" i="1"/>
  <c r="P9" i="1"/>
  <c r="Q9" i="1"/>
  <c r="P8" i="1"/>
  <c r="Q8" i="1"/>
  <c r="P7" i="1"/>
  <c r="Q7" i="1"/>
  <c r="J6" i="1"/>
  <c r="K6" i="1"/>
  <c r="J23" i="1"/>
  <c r="J22" i="1"/>
  <c r="K21" i="1"/>
  <c r="J20" i="1"/>
  <c r="J19" i="1"/>
  <c r="J18" i="1"/>
  <c r="K17" i="1"/>
  <c r="J16" i="1"/>
  <c r="K15" i="1"/>
  <c r="K14" i="1"/>
  <c r="K13" i="1"/>
  <c r="J12" i="1"/>
  <c r="J11" i="1"/>
  <c r="J10" i="1"/>
  <c r="K9" i="1"/>
  <c r="K8" i="1"/>
  <c r="K7" i="1"/>
  <c r="P23" i="1" l="1"/>
  <c r="Q23" i="1"/>
  <c r="Q22" i="1"/>
  <c r="P22" i="1"/>
  <c r="Q20" i="1"/>
  <c r="P20" i="1"/>
  <c r="P19" i="1"/>
  <c r="Q19" i="1"/>
  <c r="P18" i="1"/>
  <c r="Q18" i="1"/>
  <c r="Q16" i="1"/>
  <c r="P16" i="1"/>
  <c r="Q12" i="1"/>
  <c r="P12" i="1"/>
  <c r="Q11" i="1"/>
  <c r="P11" i="1"/>
  <c r="P10" i="1"/>
  <c r="Q10" i="1"/>
  <c r="Q6" i="1"/>
  <c r="P6" i="1"/>
  <c r="G30" i="2"/>
  <c r="R21" i="1"/>
  <c r="S21" i="1"/>
  <c r="R17" i="1"/>
  <c r="S17" i="1"/>
  <c r="S15" i="1"/>
  <c r="R15" i="1"/>
  <c r="R14" i="1"/>
  <c r="S14" i="1"/>
  <c r="R13" i="1"/>
  <c r="S13" i="1"/>
  <c r="S9" i="1"/>
  <c r="R9" i="1"/>
  <c r="S8" i="1"/>
  <c r="R8" i="1"/>
  <c r="R7" i="1"/>
  <c r="S7" i="1"/>
  <c r="S6" i="1" l="1"/>
  <c r="R6" i="1"/>
  <c r="S23" i="1"/>
  <c r="R23" i="1"/>
  <c r="S22" i="1"/>
  <c r="R22" i="1"/>
  <c r="R20" i="1"/>
  <c r="S20" i="1"/>
  <c r="S19" i="1"/>
  <c r="R19" i="1"/>
  <c r="R18" i="1"/>
  <c r="S18" i="1"/>
  <c r="S16" i="1"/>
  <c r="R16" i="1"/>
  <c r="S12" i="1"/>
  <c r="R12" i="1"/>
  <c r="S11" i="1"/>
  <c r="R11" i="1"/>
  <c r="R10" i="1"/>
  <c r="S10" i="1"/>
  <c r="H28" i="1" l="1"/>
  <c r="H27" i="1"/>
  <c r="H29" i="1" s="1"/>
  <c r="H31" i="1" l="1"/>
  <c r="H30" i="1"/>
</calcChain>
</file>

<file path=xl/sharedStrings.xml><?xml version="1.0" encoding="utf-8"?>
<sst xmlns="http://schemas.openxmlformats.org/spreadsheetml/2006/main" count="50" uniqueCount="34">
  <si>
    <t>CL</t>
  </si>
  <si>
    <t>CD</t>
  </si>
  <si>
    <t>residuo</t>
  </si>
  <si>
    <t>b</t>
  </si>
  <si>
    <t>rp</t>
  </si>
  <si>
    <t>beta(º)</t>
  </si>
  <si>
    <t>phi(º)</t>
  </si>
  <si>
    <t>theta(º)</t>
  </si>
  <si>
    <t>alfa0(º)</t>
  </si>
  <si>
    <t>phi0(º)</t>
  </si>
  <si>
    <t>r/R</t>
  </si>
  <si>
    <t>c/R</t>
  </si>
  <si>
    <r>
      <t>v/(</t>
    </r>
    <r>
      <rPr>
        <sz val="11"/>
        <color theme="1"/>
        <rFont val="Calibri"/>
        <family val="2"/>
      </rPr>
      <t>Ω</t>
    </r>
    <r>
      <rPr>
        <sz val="9.9"/>
        <color theme="1"/>
        <rFont val="Calibri"/>
        <family val="2"/>
      </rPr>
      <t>.R)</t>
    </r>
  </si>
  <si>
    <r>
      <t>T/(</t>
    </r>
    <r>
      <rPr>
        <sz val="11"/>
        <color theme="1"/>
        <rFont val="Calibri"/>
        <family val="2"/>
      </rPr>
      <t>ρ.R^4.Ω^2)</t>
    </r>
  </si>
  <si>
    <t>Q/(ρ.R^5.Ω^2)</t>
  </si>
  <si>
    <t>Pu/(ρ.R^5.Ω^3)</t>
  </si>
  <si>
    <r>
      <t>ef/(</t>
    </r>
    <r>
      <rPr>
        <sz val="11"/>
        <color theme="1"/>
        <rFont val="Calibri"/>
        <family val="2"/>
      </rPr>
      <t>Ω</t>
    </r>
    <r>
      <rPr>
        <sz val="9.9"/>
        <color theme="1"/>
        <rFont val="Calibri"/>
        <family val="2"/>
      </rPr>
      <t>.R)</t>
    </r>
  </si>
  <si>
    <r>
      <t>vR/(</t>
    </r>
    <r>
      <rPr>
        <sz val="11"/>
        <color theme="1"/>
        <rFont val="Calibri"/>
        <family val="2"/>
      </rPr>
      <t>Ω.R)</t>
    </r>
  </si>
  <si>
    <r>
      <t>vR0/(</t>
    </r>
    <r>
      <rPr>
        <sz val="11"/>
        <color theme="1"/>
        <rFont val="Calibri"/>
        <family val="2"/>
      </rPr>
      <t>Ω.R)</t>
    </r>
  </si>
  <si>
    <r>
      <t>t/(</t>
    </r>
    <r>
      <rPr>
        <sz val="11"/>
        <color theme="1"/>
        <rFont val="Calibri"/>
        <family val="2"/>
      </rPr>
      <t>ρ.R^3.Ω^2</t>
    </r>
    <r>
      <rPr>
        <sz val="11"/>
        <color theme="1"/>
        <rFont val="Calibri"/>
        <family val="2"/>
        <scheme val="minor"/>
      </rPr>
      <t>)</t>
    </r>
  </si>
  <si>
    <t>q/(ρ.R^4.Ω^2)</t>
  </si>
  <si>
    <r>
      <t>vi/(</t>
    </r>
    <r>
      <rPr>
        <sz val="11"/>
        <color theme="1"/>
        <rFont val="Calibri"/>
        <family val="2"/>
      </rPr>
      <t>Ω.R)</t>
    </r>
  </si>
  <si>
    <r>
      <t>v/(</t>
    </r>
    <r>
      <rPr>
        <sz val="11"/>
        <color theme="1"/>
        <rFont val="Calibri"/>
        <family val="2"/>
      </rPr>
      <t>Ω.R)</t>
    </r>
  </si>
  <si>
    <r>
      <t>Q/(</t>
    </r>
    <r>
      <rPr>
        <sz val="11"/>
        <color theme="1"/>
        <rFont val="Calibri"/>
        <family val="2"/>
      </rPr>
      <t>ρ.R^5.Ω^2)</t>
    </r>
  </si>
  <si>
    <r>
      <t>Pu/(</t>
    </r>
    <r>
      <rPr>
        <sz val="11"/>
        <color theme="1"/>
        <rFont val="Calibri"/>
        <family val="2"/>
      </rPr>
      <t>ρ.R^5.Ω^3</t>
    </r>
    <r>
      <rPr>
        <sz val="11"/>
        <color theme="1"/>
        <rFont val="Calibri"/>
        <family val="2"/>
        <scheme val="minor"/>
      </rPr>
      <t>)</t>
    </r>
  </si>
  <si>
    <r>
      <t>ef/(</t>
    </r>
    <r>
      <rPr>
        <sz val="11"/>
        <color theme="1"/>
        <rFont val="Calibri"/>
        <family val="2"/>
      </rPr>
      <t>Ω.R)</t>
    </r>
  </si>
  <si>
    <t>c</t>
  </si>
  <si>
    <t>T/(ρ.R^4.Ω^2)</t>
  </si>
  <si>
    <t>ef/(Ω.R)</t>
  </si>
  <si>
    <r>
      <t>vR/(</t>
    </r>
    <r>
      <rPr>
        <sz val="11"/>
        <color theme="1"/>
        <rFont val="Calibri"/>
        <family val="2"/>
      </rPr>
      <t>Ω.R</t>
    </r>
    <r>
      <rPr>
        <sz val="9.9"/>
        <color theme="1"/>
        <rFont val="Calibri"/>
        <family val="2"/>
      </rPr>
      <t>)</t>
    </r>
  </si>
  <si>
    <r>
      <t>vR0/(</t>
    </r>
    <r>
      <rPr>
        <sz val="11"/>
        <color theme="1"/>
        <rFont val="Calibri"/>
        <family val="2"/>
      </rPr>
      <t>Ω.R</t>
    </r>
    <r>
      <rPr>
        <sz val="9.9"/>
        <color theme="1"/>
        <rFont val="Calibri"/>
        <family val="2"/>
      </rPr>
      <t>)</t>
    </r>
  </si>
  <si>
    <r>
      <t>vi/(</t>
    </r>
    <r>
      <rPr>
        <sz val="11"/>
        <color theme="1"/>
        <rFont val="Calibri"/>
        <family val="2"/>
      </rPr>
      <t>Ω.R</t>
    </r>
    <r>
      <rPr>
        <sz val="9.9"/>
        <color theme="1"/>
        <rFont val="Calibri"/>
        <family val="2"/>
      </rPr>
      <t>)</t>
    </r>
  </si>
  <si>
    <r>
      <t>t/(</t>
    </r>
    <r>
      <rPr>
        <sz val="11"/>
        <color theme="1"/>
        <rFont val="Calibri"/>
        <family val="2"/>
      </rPr>
      <t>ρ.R</t>
    </r>
    <r>
      <rPr>
        <sz val="9.9"/>
        <color theme="1"/>
        <rFont val="Calibri"/>
        <family val="2"/>
      </rPr>
      <t>^3.Ω^2)</t>
    </r>
  </si>
  <si>
    <r>
      <t>q/(</t>
    </r>
    <r>
      <rPr>
        <sz val="11"/>
        <color theme="1"/>
        <rFont val="Calibri"/>
        <family val="2"/>
      </rPr>
      <t>ρ.R</t>
    </r>
    <r>
      <rPr>
        <sz val="9.9"/>
        <color theme="1"/>
        <rFont val="Calibri"/>
        <family val="2"/>
      </rPr>
      <t>^4.Ω^2)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</si>
</sst>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.9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vi_ad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actuaciones!$D$6:$D$23</c:f>
              <c:numCache>
                <c:formatCode>General</c:formatCode>
                <c:ptCount val="18"/>
                <c:pt idx="0">
                  <c:v>0.15</c:v>
                </c:pt>
                <c:pt idx="1">
                  <c:v>0.2</c:v>
                </c:pt>
                <c:pt idx="2">
                  <c:v>0.25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0.45</c:v>
                </c:pt>
                <c:pt idx="7">
                  <c:v>0.5</c:v>
                </c:pt>
                <c:pt idx="8">
                  <c:v>0.55000000000000004</c:v>
                </c:pt>
                <c:pt idx="9">
                  <c:v>0.6</c:v>
                </c:pt>
                <c:pt idx="10">
                  <c:v>0.65</c:v>
                </c:pt>
                <c:pt idx="11">
                  <c:v>0.7</c:v>
                </c:pt>
                <c:pt idx="12">
                  <c:v>0.75</c:v>
                </c:pt>
                <c:pt idx="13">
                  <c:v>0.8</c:v>
                </c:pt>
                <c:pt idx="14">
                  <c:v>0.85</c:v>
                </c:pt>
                <c:pt idx="15">
                  <c:v>0.9</c:v>
                </c:pt>
                <c:pt idx="16">
                  <c:v>0.95</c:v>
                </c:pt>
                <c:pt idx="17">
                  <c:v>1</c:v>
                </c:pt>
              </c:numCache>
            </c:numRef>
          </c:xVal>
          <c:yVal>
            <c:numRef>
              <c:f>actuaciones!$U$6:$U$23</c:f>
              <c:numCache>
                <c:formatCode>General</c:formatCode>
                <c:ptCount val="18"/>
                <c:pt idx="0">
                  <c:v>5.74917919232215E-2</c:v>
                </c:pt>
                <c:pt idx="1">
                  <c:v>5.7828833584843711E-2</c:v>
                </c:pt>
                <c:pt idx="2">
                  <c:v>5.7861694534644147E-2</c:v>
                </c:pt>
                <c:pt idx="3">
                  <c:v>5.7876740979230991E-2</c:v>
                </c:pt>
                <c:pt idx="4">
                  <c:v>5.7690307419657798E-2</c:v>
                </c:pt>
                <c:pt idx="5">
                  <c:v>5.7825857847134891E-2</c:v>
                </c:pt>
                <c:pt idx="6">
                  <c:v>5.7884823319788024E-2</c:v>
                </c:pt>
                <c:pt idx="7">
                  <c:v>5.7898760056746323E-2</c:v>
                </c:pt>
                <c:pt idx="8">
                  <c:v>5.7889011176680161E-2</c:v>
                </c:pt>
                <c:pt idx="9">
                  <c:v>5.7869168390616579E-2</c:v>
                </c:pt>
                <c:pt idx="10">
                  <c:v>5.7846857382636903E-2</c:v>
                </c:pt>
                <c:pt idx="11">
                  <c:v>5.7825040668259289E-2</c:v>
                </c:pt>
                <c:pt idx="12">
                  <c:v>5.7803066293757831E-2</c:v>
                </c:pt>
                <c:pt idx="13">
                  <c:v>5.7903688218354739E-2</c:v>
                </c:pt>
                <c:pt idx="14">
                  <c:v>5.7900156709595869E-2</c:v>
                </c:pt>
                <c:pt idx="15">
                  <c:v>5.7889123061285866E-2</c:v>
                </c:pt>
                <c:pt idx="16">
                  <c:v>5.7879957887960763E-2</c:v>
                </c:pt>
                <c:pt idx="17">
                  <c:v>5.7901957822187655E-2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EA-407C-9C2F-00825844C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8617696"/>
        <c:axId val="869459376"/>
      </c:scatterChart>
      <c:valAx>
        <c:axId val="878617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9459376"/>
        <c:crosses val="autoZero"/>
        <c:crossBetween val="midCat"/>
      </c:valAx>
      <c:valAx>
        <c:axId val="86945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vi_ad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78617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angulos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beta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actuaciones!$D$6:$D$23</c:f>
              <c:numCache>
                <c:formatCode>General</c:formatCode>
                <c:ptCount val="18"/>
                <c:pt idx="0">
                  <c:v>0.15</c:v>
                </c:pt>
                <c:pt idx="1">
                  <c:v>0.2</c:v>
                </c:pt>
                <c:pt idx="2">
                  <c:v>0.25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0.45</c:v>
                </c:pt>
                <c:pt idx="7">
                  <c:v>0.5</c:v>
                </c:pt>
                <c:pt idx="8">
                  <c:v>0.55000000000000004</c:v>
                </c:pt>
                <c:pt idx="9">
                  <c:v>0.6</c:v>
                </c:pt>
                <c:pt idx="10">
                  <c:v>0.65</c:v>
                </c:pt>
                <c:pt idx="11">
                  <c:v>0.7</c:v>
                </c:pt>
                <c:pt idx="12">
                  <c:v>0.75</c:v>
                </c:pt>
                <c:pt idx="13">
                  <c:v>0.8</c:v>
                </c:pt>
                <c:pt idx="14">
                  <c:v>0.85</c:v>
                </c:pt>
                <c:pt idx="15">
                  <c:v>0.9</c:v>
                </c:pt>
                <c:pt idx="16">
                  <c:v>0.95</c:v>
                </c:pt>
                <c:pt idx="17">
                  <c:v>1</c:v>
                </c:pt>
              </c:numCache>
            </c:numRef>
          </c:xVal>
          <c:yVal>
            <c:numRef>
              <c:f>actuaciones!$G$6:$G$23</c:f>
              <c:numCache>
                <c:formatCode>General</c:formatCode>
                <c:ptCount val="18"/>
                <c:pt idx="0">
                  <c:v>86.719316565547373</c:v>
                </c:pt>
                <c:pt idx="1">
                  <c:v>79.932906067185797</c:v>
                </c:pt>
                <c:pt idx="2">
                  <c:v>73.812314600246708</c:v>
                </c:pt>
                <c:pt idx="3">
                  <c:v>68.350596084478511</c:v>
                </c:pt>
                <c:pt idx="4">
                  <c:v>63.515235321623614</c:v>
                </c:pt>
                <c:pt idx="5">
                  <c:v>59.256606919640177</c:v>
                </c:pt>
                <c:pt idx="6">
                  <c:v>55.515235774513521</c:v>
                </c:pt>
                <c:pt idx="7">
                  <c:v>52.227859109658233</c:v>
                </c:pt>
                <c:pt idx="8">
                  <c:v>49.332290072910318</c:v>
                </c:pt>
                <c:pt idx="9">
                  <c:v>46.771082891109906</c:v>
                </c:pt>
                <c:pt idx="10">
                  <c:v>44.493999582273922</c:v>
                </c:pt>
                <c:pt idx="11">
                  <c:v>42.45927822535927</c:v>
                </c:pt>
                <c:pt idx="12">
                  <c:v>40.633702787616329</c:v>
                </c:pt>
                <c:pt idx="13">
                  <c:v>38.991474509532573</c:v>
                </c:pt>
                <c:pt idx="14">
                  <c:v>37.511884847366474</c:v>
                </c:pt>
                <c:pt idx="15">
                  <c:v>36.175789973271918</c:v>
                </c:pt>
                <c:pt idx="16">
                  <c:v>34.960886833012772</c:v>
                </c:pt>
                <c:pt idx="17">
                  <c:v>33.835790761267774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B4-4BF3-86F7-03CC9FEFD659}"/>
            </c:ext>
          </c:extLst>
        </c:ser>
        <c:ser>
          <c:idx val="1"/>
          <c:order val="1"/>
          <c:tx>
            <c:v>phi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actuaciones!$D$6:$D$23</c:f>
              <c:numCache>
                <c:formatCode>General</c:formatCode>
                <c:ptCount val="18"/>
                <c:pt idx="0">
                  <c:v>0.15</c:v>
                </c:pt>
                <c:pt idx="1">
                  <c:v>0.2</c:v>
                </c:pt>
                <c:pt idx="2">
                  <c:v>0.25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0.45</c:v>
                </c:pt>
                <c:pt idx="7">
                  <c:v>0.5</c:v>
                </c:pt>
                <c:pt idx="8">
                  <c:v>0.55000000000000004</c:v>
                </c:pt>
                <c:pt idx="9">
                  <c:v>0.6</c:v>
                </c:pt>
                <c:pt idx="10">
                  <c:v>0.65</c:v>
                </c:pt>
                <c:pt idx="11">
                  <c:v>0.7</c:v>
                </c:pt>
                <c:pt idx="12">
                  <c:v>0.75</c:v>
                </c:pt>
                <c:pt idx="13">
                  <c:v>0.8</c:v>
                </c:pt>
                <c:pt idx="14">
                  <c:v>0.85</c:v>
                </c:pt>
                <c:pt idx="15">
                  <c:v>0.9</c:v>
                </c:pt>
                <c:pt idx="16">
                  <c:v>0.95</c:v>
                </c:pt>
                <c:pt idx="17">
                  <c:v>1</c:v>
                </c:pt>
              </c:numCache>
            </c:numRef>
          </c:xVal>
          <c:yVal>
            <c:numRef>
              <c:f>actuaciones!$H$6:$H$23</c:f>
              <c:numCache>
                <c:formatCode>General</c:formatCode>
                <c:ptCount val="18"/>
                <c:pt idx="0">
                  <c:v>67.846598089173952</c:v>
                </c:pt>
                <c:pt idx="1">
                  <c:v>61.504292742271211</c:v>
                </c:pt>
                <c:pt idx="2">
                  <c:v>55.840229393408968</c:v>
                </c:pt>
                <c:pt idx="3">
                  <c:v>50.844485723624629</c:v>
                </c:pt>
                <c:pt idx="4">
                  <c:v>46.468718970706796</c:v>
                </c:pt>
                <c:pt idx="5">
                  <c:v>42.646621558677133</c:v>
                </c:pt>
                <c:pt idx="6">
                  <c:v>39.307567875411053</c:v>
                </c:pt>
                <c:pt idx="7">
                  <c:v>36.384273638392067</c:v>
                </c:pt>
                <c:pt idx="8">
                  <c:v>33.816332928085238</c:v>
                </c:pt>
                <c:pt idx="9">
                  <c:v>31.551311951845289</c:v>
                </c:pt>
                <c:pt idx="10">
                  <c:v>29.544564513826337</c:v>
                </c:pt>
                <c:pt idx="11">
                  <c:v>27.75847313155365</c:v>
                </c:pt>
                <c:pt idx="12">
                  <c:v>26.161501659252149</c:v>
                </c:pt>
                <c:pt idx="13">
                  <c:v>24.727252188698142</c:v>
                </c:pt>
                <c:pt idx="14">
                  <c:v>23.433610989075067</c:v>
                </c:pt>
                <c:pt idx="15">
                  <c:v>22.262011749308154</c:v>
                </c:pt>
                <c:pt idx="16">
                  <c:v>21.196816951500061</c:v>
                </c:pt>
                <c:pt idx="17">
                  <c:v>20.224806327744545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B4-4BF3-86F7-03CC9FEFD659}"/>
            </c:ext>
          </c:extLst>
        </c:ser>
        <c:ser>
          <c:idx val="2"/>
          <c:order val="2"/>
          <c:tx>
            <c:v>theta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actuaciones!$D$6:$D$23</c:f>
              <c:numCache>
                <c:formatCode>General</c:formatCode>
                <c:ptCount val="18"/>
                <c:pt idx="0">
                  <c:v>0.15</c:v>
                </c:pt>
                <c:pt idx="1">
                  <c:v>0.2</c:v>
                </c:pt>
                <c:pt idx="2">
                  <c:v>0.25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0.45</c:v>
                </c:pt>
                <c:pt idx="7">
                  <c:v>0.5</c:v>
                </c:pt>
                <c:pt idx="8">
                  <c:v>0.55000000000000004</c:v>
                </c:pt>
                <c:pt idx="9">
                  <c:v>0.6</c:v>
                </c:pt>
                <c:pt idx="10">
                  <c:v>0.65</c:v>
                </c:pt>
                <c:pt idx="11">
                  <c:v>0.7</c:v>
                </c:pt>
                <c:pt idx="12">
                  <c:v>0.75</c:v>
                </c:pt>
                <c:pt idx="13">
                  <c:v>0.8</c:v>
                </c:pt>
                <c:pt idx="14">
                  <c:v>0.85</c:v>
                </c:pt>
                <c:pt idx="15">
                  <c:v>0.9</c:v>
                </c:pt>
                <c:pt idx="16">
                  <c:v>0.95</c:v>
                </c:pt>
                <c:pt idx="17">
                  <c:v>1</c:v>
                </c:pt>
              </c:numCache>
            </c:numRef>
          </c:xVal>
          <c:yVal>
            <c:numRef>
              <c:f>actuaciones!$I$6:$I$23</c:f>
              <c:numCache>
                <c:formatCode>General</c:formatCode>
                <c:ptCount val="18"/>
                <c:pt idx="0">
                  <c:v>8.223990518273375</c:v>
                </c:pt>
                <c:pt idx="1">
                  <c:v>7.8543028598703106</c:v>
                </c:pt>
                <c:pt idx="2">
                  <c:v>7.4045427803408481</c:v>
                </c:pt>
                <c:pt idx="3">
                  <c:v>6.9453538004669992</c:v>
                </c:pt>
                <c:pt idx="4">
                  <c:v>6.4768515246270004</c:v>
                </c:pt>
                <c:pt idx="5">
                  <c:v>6.0696790396598308</c:v>
                </c:pt>
                <c:pt idx="6">
                  <c:v>5.6839623865956641</c:v>
                </c:pt>
                <c:pt idx="7">
                  <c:v>5.3259237697210766</c:v>
                </c:pt>
                <c:pt idx="8">
                  <c:v>4.9976141560906004</c:v>
                </c:pt>
                <c:pt idx="9">
                  <c:v>4.6986245776633737</c:v>
                </c:pt>
                <c:pt idx="10">
                  <c:v>4.4271986116400619</c:v>
                </c:pt>
                <c:pt idx="11">
                  <c:v>4.1809228279331911</c:v>
                </c:pt>
                <c:pt idx="12">
                  <c:v>3.9571447235506176</c:v>
                </c:pt>
                <c:pt idx="13">
                  <c:v>3.7613878427044516</c:v>
                </c:pt>
                <c:pt idx="14">
                  <c:v>3.5763100798963192</c:v>
                </c:pt>
                <c:pt idx="15">
                  <c:v>3.4066152291549332</c:v>
                </c:pt>
                <c:pt idx="16">
                  <c:v>3.2511491869677207</c:v>
                </c:pt>
                <c:pt idx="17">
                  <c:v>3.109932106372407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B4-4BF3-86F7-03CC9FEFD659}"/>
            </c:ext>
          </c:extLst>
        </c:ser>
        <c:ser>
          <c:idx val="3"/>
          <c:order val="3"/>
          <c:tx>
            <c:v>alfa0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actuaciones!$D$6:$D$23</c:f>
              <c:numCache>
                <c:formatCode>General</c:formatCode>
                <c:ptCount val="18"/>
                <c:pt idx="0">
                  <c:v>0.15</c:v>
                </c:pt>
                <c:pt idx="1">
                  <c:v>0.2</c:v>
                </c:pt>
                <c:pt idx="2">
                  <c:v>0.25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0.45</c:v>
                </c:pt>
                <c:pt idx="7">
                  <c:v>0.5</c:v>
                </c:pt>
                <c:pt idx="8">
                  <c:v>0.55000000000000004</c:v>
                </c:pt>
                <c:pt idx="9">
                  <c:v>0.6</c:v>
                </c:pt>
                <c:pt idx="10">
                  <c:v>0.65</c:v>
                </c:pt>
                <c:pt idx="11">
                  <c:v>0.7</c:v>
                </c:pt>
                <c:pt idx="12">
                  <c:v>0.75</c:v>
                </c:pt>
                <c:pt idx="13">
                  <c:v>0.8</c:v>
                </c:pt>
                <c:pt idx="14">
                  <c:v>0.85</c:v>
                </c:pt>
                <c:pt idx="15">
                  <c:v>0.9</c:v>
                </c:pt>
                <c:pt idx="16">
                  <c:v>0.95</c:v>
                </c:pt>
                <c:pt idx="17">
                  <c:v>1</c:v>
                </c:pt>
              </c:numCache>
            </c:numRef>
          </c:xVal>
          <c:yVal>
            <c:numRef>
              <c:f>actuaciones!$J$6:$J$23</c:f>
              <c:numCache>
                <c:formatCode>General</c:formatCode>
                <c:ptCount val="18"/>
                <c:pt idx="0">
                  <c:v>10.648727958100046</c:v>
                </c:pt>
                <c:pt idx="1">
                  <c:v>10.574310465044276</c:v>
                </c:pt>
                <c:pt idx="2">
                  <c:v>10.567542426496892</c:v>
                </c:pt>
                <c:pt idx="3">
                  <c:v>10.560756560386881</c:v>
                </c:pt>
                <c:pt idx="4">
                  <c:v>10.569664826289817</c:v>
                </c:pt>
                <c:pt idx="5">
                  <c:v>10.540306321303213</c:v>
                </c:pt>
                <c:pt idx="6">
                  <c:v>10.523705512506805</c:v>
                </c:pt>
                <c:pt idx="7">
                  <c:v>10.517661701545091</c:v>
                </c:pt>
                <c:pt idx="8">
                  <c:v>10.51834298873448</c:v>
                </c:pt>
                <c:pt idx="9">
                  <c:v>10.521146361601243</c:v>
                </c:pt>
                <c:pt idx="10">
                  <c:v>10.522236456807523</c:v>
                </c:pt>
                <c:pt idx="11">
                  <c:v>10.519882265872429</c:v>
                </c:pt>
                <c:pt idx="12">
                  <c:v>10.515056404813562</c:v>
                </c:pt>
                <c:pt idx="13">
                  <c:v>10.50283447812998</c:v>
                </c:pt>
                <c:pt idx="14">
                  <c:v>10.501963778395087</c:v>
                </c:pt>
                <c:pt idx="15">
                  <c:v>10.50716299480883</c:v>
                </c:pt>
                <c:pt idx="16">
                  <c:v>10.51292069454499</c:v>
                </c:pt>
                <c:pt idx="17">
                  <c:v>10.501052327150822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B4-4BF3-86F7-03CC9FEFD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660720"/>
        <c:axId val="869441904"/>
      </c:scatterChart>
      <c:valAx>
        <c:axId val="93966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9441904"/>
        <c:crosses val="autoZero"/>
        <c:crossBetween val="midCat"/>
      </c:valAx>
      <c:valAx>
        <c:axId val="86944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ang(rad)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9660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t_ad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actuaciones!$D$6:$D$23</c:f>
              <c:numCache>
                <c:formatCode>General</c:formatCode>
                <c:ptCount val="18"/>
                <c:pt idx="0">
                  <c:v>0.15</c:v>
                </c:pt>
                <c:pt idx="1">
                  <c:v>0.2</c:v>
                </c:pt>
                <c:pt idx="2">
                  <c:v>0.25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0.45</c:v>
                </c:pt>
                <c:pt idx="7">
                  <c:v>0.5</c:v>
                </c:pt>
                <c:pt idx="8">
                  <c:v>0.55000000000000004</c:v>
                </c:pt>
                <c:pt idx="9">
                  <c:v>0.6</c:v>
                </c:pt>
                <c:pt idx="10">
                  <c:v>0.65</c:v>
                </c:pt>
                <c:pt idx="11">
                  <c:v>0.7</c:v>
                </c:pt>
                <c:pt idx="12">
                  <c:v>0.75</c:v>
                </c:pt>
                <c:pt idx="13">
                  <c:v>0.8</c:v>
                </c:pt>
                <c:pt idx="14">
                  <c:v>0.85</c:v>
                </c:pt>
                <c:pt idx="15">
                  <c:v>0.9</c:v>
                </c:pt>
                <c:pt idx="16">
                  <c:v>0.95</c:v>
                </c:pt>
                <c:pt idx="17">
                  <c:v>1</c:v>
                </c:pt>
              </c:numCache>
            </c:numRef>
          </c:xVal>
          <c:yVal>
            <c:numRef>
              <c:f>actuaciones!$R$6:$R$23</c:f>
              <c:numCache>
                <c:formatCode>General</c:formatCode>
                <c:ptCount val="18"/>
                <c:pt idx="0">
                  <c:v>1.0620701128665415E-2</c:v>
                </c:pt>
                <c:pt idx="1">
                  <c:v>2.0903113667823256E-2</c:v>
                </c:pt>
                <c:pt idx="2">
                  <c:v>3.361128591634218E-2</c:v>
                </c:pt>
                <c:pt idx="3">
                  <c:v>4.8074806252187428E-2</c:v>
                </c:pt>
                <c:pt idx="4">
                  <c:v>6.3890651192466161E-2</c:v>
                </c:pt>
                <c:pt idx="5">
                  <c:v>8.0192171305142154E-2</c:v>
                </c:pt>
                <c:pt idx="6">
                  <c:v>9.6964666095248023E-2</c:v>
                </c:pt>
                <c:pt idx="7">
                  <c:v>0.11399404290239008</c:v>
                </c:pt>
                <c:pt idx="8">
                  <c:v>0.13114532134278253</c:v>
                </c:pt>
                <c:pt idx="9">
                  <c:v>0.1483373093992747</c:v>
                </c:pt>
                <c:pt idx="10">
                  <c:v>0.16552181461817184</c:v>
                </c:pt>
                <c:pt idx="11">
                  <c:v>0.18266774994007764</c:v>
                </c:pt>
                <c:pt idx="12">
                  <c:v>0.19974974807427001</c:v>
                </c:pt>
                <c:pt idx="13">
                  <c:v>0.21656075858802534</c:v>
                </c:pt>
                <c:pt idx="14">
                  <c:v>0.23339404825190549</c:v>
                </c:pt>
                <c:pt idx="15">
                  <c:v>0.25010543924331841</c:v>
                </c:pt>
                <c:pt idx="16">
                  <c:v>0.2667389399521149</c:v>
                </c:pt>
                <c:pt idx="17">
                  <c:v>0.28346067990633755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89-41FB-AF6B-A89D07C61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436736"/>
        <c:axId val="756762048"/>
      </c:scatterChart>
      <c:valAx>
        <c:axId val="88343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56762048"/>
        <c:crosses val="autoZero"/>
        <c:crossBetween val="midCat"/>
      </c:valAx>
      <c:valAx>
        <c:axId val="75676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343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q_ad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actuaciones!$D$6:$D$23</c:f>
              <c:numCache>
                <c:formatCode>General</c:formatCode>
                <c:ptCount val="18"/>
                <c:pt idx="0">
                  <c:v>0.15</c:v>
                </c:pt>
                <c:pt idx="1">
                  <c:v>0.2</c:v>
                </c:pt>
                <c:pt idx="2">
                  <c:v>0.25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0.45</c:v>
                </c:pt>
                <c:pt idx="7">
                  <c:v>0.5</c:v>
                </c:pt>
                <c:pt idx="8">
                  <c:v>0.55000000000000004</c:v>
                </c:pt>
                <c:pt idx="9">
                  <c:v>0.6</c:v>
                </c:pt>
                <c:pt idx="10">
                  <c:v>0.65</c:v>
                </c:pt>
                <c:pt idx="11">
                  <c:v>0.7</c:v>
                </c:pt>
                <c:pt idx="12">
                  <c:v>0.75</c:v>
                </c:pt>
                <c:pt idx="13">
                  <c:v>0.8</c:v>
                </c:pt>
                <c:pt idx="14">
                  <c:v>0.85</c:v>
                </c:pt>
                <c:pt idx="15">
                  <c:v>0.9</c:v>
                </c:pt>
                <c:pt idx="16">
                  <c:v>0.95</c:v>
                </c:pt>
                <c:pt idx="17">
                  <c:v>1</c:v>
                </c:pt>
              </c:numCache>
            </c:numRef>
          </c:xVal>
          <c:yVal>
            <c:numRef>
              <c:f>actuaciones!$S$6:$S$23</c:f>
              <c:numCache>
                <c:formatCode>General</c:formatCode>
                <c:ptCount val="18"/>
                <c:pt idx="0">
                  <c:v>6.9392079525397209E-3</c:v>
                </c:pt>
                <c:pt idx="1">
                  <c:v>1.1713365309805025E-2</c:v>
                </c:pt>
                <c:pt idx="2">
                  <c:v>1.741631139771075E-2</c:v>
                </c:pt>
                <c:pt idx="3">
                  <c:v>2.3804169864599805E-2</c:v>
                </c:pt>
                <c:pt idx="4">
                  <c:v>3.0716178990509827E-2</c:v>
                </c:pt>
                <c:pt idx="5">
                  <c:v>3.7844710140066982E-2</c:v>
                </c:pt>
                <c:pt idx="6">
                  <c:v>4.5170041819106631E-2</c:v>
                </c:pt>
                <c:pt idx="7">
                  <c:v>5.2612918274162132E-2</c:v>
                </c:pt>
                <c:pt idx="8">
                  <c:v>6.0124747433928288E-2</c:v>
                </c:pt>
                <c:pt idx="9">
                  <c:v>6.7677232797749787E-2</c:v>
                </c:pt>
                <c:pt idx="10">
                  <c:v>7.5253940912308942E-2</c:v>
                </c:pt>
                <c:pt idx="11">
                  <c:v>8.2843851018896353E-2</c:v>
                </c:pt>
                <c:pt idx="12">
                  <c:v>9.0436736525961139E-2</c:v>
                </c:pt>
                <c:pt idx="13">
                  <c:v>9.7971369867754024E-2</c:v>
                </c:pt>
                <c:pt idx="14">
                  <c:v>0.10552427604634182</c:v>
                </c:pt>
                <c:pt idx="15">
                  <c:v>0.11305330864893144</c:v>
                </c:pt>
                <c:pt idx="16">
                  <c:v>0.12058062776393677</c:v>
                </c:pt>
                <c:pt idx="17">
                  <c:v>0.1281904209157165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4D-410A-8CC2-8C436CB80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377136"/>
        <c:axId val="869453552"/>
      </c:scatterChart>
      <c:valAx>
        <c:axId val="75537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9453552"/>
        <c:crosses val="autoZero"/>
        <c:crossBetween val="midCat"/>
      </c:valAx>
      <c:valAx>
        <c:axId val="86945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q_ad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55377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T_ad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actuaciones!$T$34:$T$54</c:f>
              <c:numCache>
                <c:formatCode>General</c:formatCode>
                <c:ptCount val="2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</c:numCache>
            </c:numRef>
          </c:xVal>
          <c:yVal>
            <c:numRef>
              <c:f>actuaciones!$U$34:$U$54</c:f>
              <c:numCache>
                <c:formatCode>General</c:formatCode>
                <c:ptCount val="21"/>
                <c:pt idx="0">
                  <c:v>0.22123608073812304</c:v>
                </c:pt>
                <c:pt idx="1">
                  <c:v>0.21630059708122767</c:v>
                </c:pt>
                <c:pt idx="2">
                  <c:v>0.21102143321385666</c:v>
                </c:pt>
                <c:pt idx="3">
                  <c:v>0.20553296227390441</c:v>
                </c:pt>
                <c:pt idx="4">
                  <c:v>0.19964367199322722</c:v>
                </c:pt>
                <c:pt idx="5">
                  <c:v>0.19353679709793489</c:v>
                </c:pt>
                <c:pt idx="6">
                  <c:v>0.18704121064998855</c:v>
                </c:pt>
                <c:pt idx="7">
                  <c:v>0.18027130069006383</c:v>
                </c:pt>
                <c:pt idx="8">
                  <c:v>0.17317907757974346</c:v>
                </c:pt>
                <c:pt idx="9">
                  <c:v>0.16583465197015934</c:v>
                </c:pt>
                <c:pt idx="10">
                  <c:v>0.1581960251840844</c:v>
                </c:pt>
                <c:pt idx="11">
                  <c:v>0.15026981043732301</c:v>
                </c:pt>
                <c:pt idx="12">
                  <c:v>0.14207057814696994</c:v>
                </c:pt>
                <c:pt idx="13">
                  <c:v>0.13360754044709733</c:v>
                </c:pt>
                <c:pt idx="14">
                  <c:v>0.12489325398171666</c:v>
                </c:pt>
                <c:pt idx="15">
                  <c:v>0.11592559049295763</c:v>
                </c:pt>
                <c:pt idx="16">
                  <c:v>0.10671977416930815</c:v>
                </c:pt>
                <c:pt idx="17">
                  <c:v>9.7279407311843188E-2</c:v>
                </c:pt>
                <c:pt idx="18">
                  <c:v>8.7595540484562001E-2</c:v>
                </c:pt>
                <c:pt idx="19">
                  <c:v>7.7696418315404123E-2</c:v>
                </c:pt>
                <c:pt idx="20">
                  <c:v>6.7563024080203316E-2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3-410D-96FF-68B373334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4583024"/>
        <c:axId val="928788304"/>
      </c:scatterChart>
      <c:valAx>
        <c:axId val="104458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28788304"/>
        <c:crosses val="autoZero"/>
        <c:crossBetween val="midCat"/>
      </c:valAx>
      <c:valAx>
        <c:axId val="92878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4458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Q_ad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actuaciones!$T$34:$T$54</c:f>
              <c:numCache>
                <c:formatCode>General</c:formatCode>
                <c:ptCount val="2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</c:numCache>
            </c:numRef>
          </c:xVal>
          <c:yVal>
            <c:numRef>
              <c:f>actuaciones!$V$34:$V$54</c:f>
              <c:numCache>
                <c:formatCode>General</c:formatCode>
                <c:ptCount val="21"/>
                <c:pt idx="0">
                  <c:v>5.1938967635427463E-2</c:v>
                </c:pt>
                <c:pt idx="1">
                  <c:v>5.3178345374593788E-2</c:v>
                </c:pt>
                <c:pt idx="2">
                  <c:v>5.4366972915120597E-2</c:v>
                </c:pt>
                <c:pt idx="3">
                  <c:v>5.5495081485141755E-2</c:v>
                </c:pt>
                <c:pt idx="4">
                  <c:v>5.6521174338831186E-2</c:v>
                </c:pt>
                <c:pt idx="5">
                  <c:v>5.7438991523802538E-2</c:v>
                </c:pt>
                <c:pt idx="6">
                  <c:v>5.8195962027012188E-2</c:v>
                </c:pt>
                <c:pt idx="7">
                  <c:v>5.8779740652920548E-2</c:v>
                </c:pt>
                <c:pt idx="8">
                  <c:v>5.9156307776463288E-2</c:v>
                </c:pt>
                <c:pt idx="9">
                  <c:v>5.9304514328127902E-2</c:v>
                </c:pt>
                <c:pt idx="10">
                  <c:v>5.9188579981309136E-2</c:v>
                </c:pt>
                <c:pt idx="11">
                  <c:v>5.8783100205158971E-2</c:v>
                </c:pt>
                <c:pt idx="12">
                  <c:v>5.8062034913336467E-2</c:v>
                </c:pt>
                <c:pt idx="13">
                  <c:v>5.7000848740219372E-2</c:v>
                </c:pt>
                <c:pt idx="14">
                  <c:v>5.557834322079111E-2</c:v>
                </c:pt>
                <c:pt idx="15">
                  <c:v>5.3770105172744602E-2</c:v>
                </c:pt>
                <c:pt idx="16">
                  <c:v>5.1559071929228213E-2</c:v>
                </c:pt>
                <c:pt idx="17">
                  <c:v>4.8926244722225391E-2</c:v>
                </c:pt>
                <c:pt idx="18">
                  <c:v>4.5848958643484011E-2</c:v>
                </c:pt>
                <c:pt idx="19">
                  <c:v>4.232019042835073E-2</c:v>
                </c:pt>
                <c:pt idx="20">
                  <c:v>3.8315125842389497E-2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EE-438F-B9E0-700909485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244624"/>
        <c:axId val="939843584"/>
      </c:scatterChart>
      <c:valAx>
        <c:axId val="104524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9843584"/>
        <c:crosses val="autoZero"/>
        <c:crossBetween val="midCat"/>
      </c:valAx>
      <c:valAx>
        <c:axId val="93984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Q_ad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45244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Pu_ad.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actuaciones!$T$34:$T$54</c:f>
              <c:numCache>
                <c:formatCode>General</c:formatCode>
                <c:ptCount val="2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</c:numCache>
            </c:numRef>
          </c:xVal>
          <c:yVal>
            <c:numRef>
              <c:f>actuaciones!$W$34:$W$54</c:f>
              <c:numCache>
                <c:formatCode>General</c:formatCode>
                <c:ptCount val="21"/>
                <c:pt idx="0">
                  <c:v>0</c:v>
                </c:pt>
                <c:pt idx="1">
                  <c:v>5.4075149270306922E-3</c:v>
                </c:pt>
                <c:pt idx="2">
                  <c:v>1.0551071660692834E-2</c:v>
                </c:pt>
                <c:pt idx="3">
                  <c:v>1.5414972170542834E-2</c:v>
                </c:pt>
                <c:pt idx="4">
                  <c:v>1.9964367199322722E-2</c:v>
                </c:pt>
                <c:pt idx="5">
                  <c:v>2.4192099637241862E-2</c:v>
                </c:pt>
                <c:pt idx="6">
                  <c:v>2.8056181597498286E-2</c:v>
                </c:pt>
                <c:pt idx="7">
                  <c:v>3.1547477620761176E-2</c:v>
                </c:pt>
                <c:pt idx="8">
                  <c:v>3.4635815515948694E-2</c:v>
                </c:pt>
                <c:pt idx="9">
                  <c:v>3.7312796693285855E-2</c:v>
                </c:pt>
                <c:pt idx="10">
                  <c:v>3.9549006296021101E-2</c:v>
                </c:pt>
                <c:pt idx="11">
                  <c:v>4.1324197870263833E-2</c:v>
                </c:pt>
                <c:pt idx="12">
                  <c:v>4.2621173444090991E-2</c:v>
                </c:pt>
                <c:pt idx="13">
                  <c:v>4.3422450645306636E-2</c:v>
                </c:pt>
                <c:pt idx="14">
                  <c:v>4.3712638893600837E-2</c:v>
                </c:pt>
                <c:pt idx="15">
                  <c:v>4.3472096434859109E-2</c:v>
                </c:pt>
                <c:pt idx="16">
                  <c:v>4.2687909667723262E-2</c:v>
                </c:pt>
                <c:pt idx="17">
                  <c:v>4.1343748107533357E-2</c:v>
                </c:pt>
                <c:pt idx="18">
                  <c:v>3.9417993218052901E-2</c:v>
                </c:pt>
                <c:pt idx="19">
                  <c:v>3.6905798699816958E-2</c:v>
                </c:pt>
                <c:pt idx="20">
                  <c:v>3.3781512040101658E-2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BA-4B8E-8ADD-FD1993758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135504"/>
        <c:axId val="939841504"/>
      </c:scatterChart>
      <c:valAx>
        <c:axId val="76513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9841504"/>
        <c:crosses val="autoZero"/>
        <c:crossBetween val="midCat"/>
      </c:valAx>
      <c:valAx>
        <c:axId val="93984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Pu_ad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513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ef_ad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actuaciones!$T$34:$T$54</c:f>
              <c:numCache>
                <c:formatCode>General</c:formatCode>
                <c:ptCount val="2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</c:numCache>
            </c:numRef>
          </c:xVal>
          <c:yVal>
            <c:numRef>
              <c:f>actuaciones!$X$34:$X$54</c:f>
              <c:numCache>
                <c:formatCode>General</c:formatCode>
                <c:ptCount val="21"/>
                <c:pt idx="0">
                  <c:v>0.23476716574502862</c:v>
                </c:pt>
                <c:pt idx="1">
                  <c:v>0.24585390004551697</c:v>
                </c:pt>
                <c:pt idx="2">
                  <c:v>0.25763720815990837</c:v>
                </c:pt>
                <c:pt idx="3">
                  <c:v>0.27000574930256682</c:v>
                </c:pt>
                <c:pt idx="4">
                  <c:v>0.28311027228926461</c:v>
                </c:pt>
                <c:pt idx="5">
                  <c:v>0.29678589490523005</c:v>
                </c:pt>
                <c:pt idx="6">
                  <c:v>0.31113978478205362</c:v>
                </c:pt>
                <c:pt idx="7">
                  <c:v>0.32606266459451111</c:v>
                </c:pt>
                <c:pt idx="8">
                  <c:v>0.34159038495411598</c:v>
                </c:pt>
                <c:pt idx="9">
                  <c:v>0.35761231819510975</c:v>
                </c:pt>
                <c:pt idx="10">
                  <c:v>0.3741470742544542</c:v>
                </c:pt>
                <c:pt idx="11">
                  <c:v>0.39118369840279521</c:v>
                </c:pt>
                <c:pt idx="12">
                  <c:v>0.40868444170947305</c:v>
                </c:pt>
                <c:pt idx="13">
                  <c:v>0.42662898029164142</c:v>
                </c:pt>
                <c:pt idx="14">
                  <c:v>0.44500676737053646</c:v>
                </c:pt>
                <c:pt idx="15">
                  <c:v>0.46383292027320822</c:v>
                </c:pt>
                <c:pt idx="16">
                  <c:v>0.48312575931271257</c:v>
                </c:pt>
                <c:pt idx="17">
                  <c:v>0.50294554699932792</c:v>
                </c:pt>
                <c:pt idx="18">
                  <c:v>0.52341658479251596</c:v>
                </c:pt>
                <c:pt idx="19">
                  <c:v>0.54468650352136394</c:v>
                </c:pt>
                <c:pt idx="20">
                  <c:v>0.56710199645454051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ED-40E5-9FDD-64AC9D36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097823"/>
        <c:axId val="1038422575"/>
      </c:scatterChart>
      <c:valAx>
        <c:axId val="771097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8422575"/>
        <c:crosses val="autoZero"/>
        <c:crossBetween val="midCat"/>
      </c:valAx>
      <c:valAx>
        <c:axId val="1038422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ef_ad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710978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η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actuaciones!$T$34:$T$54</c:f>
              <c:numCache>
                <c:formatCode>General</c:formatCode>
                <c:ptCount val="2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</c:numCache>
            </c:numRef>
          </c:xVal>
          <c:yVal>
            <c:numRef>
              <c:f>actuaciones!$Y$34:$Y$54</c:f>
              <c:numCache>
                <c:formatCode>General</c:formatCode>
                <c:ptCount val="21"/>
                <c:pt idx="0">
                  <c:v>0</c:v>
                </c:pt>
                <c:pt idx="1">
                  <c:v>0.10168640804710255</c:v>
                </c:pt>
                <c:pt idx="2">
                  <c:v>0.19407134690330274</c:v>
                </c:pt>
                <c:pt idx="3">
                  <c:v>0.27777186298338957</c:v>
                </c:pt>
                <c:pt idx="4">
                  <c:v>0.35321925690434214</c:v>
                </c:pt>
                <c:pt idx="5">
                  <c:v>0.42117904572222042</c:v>
                </c:pt>
                <c:pt idx="6">
                  <c:v>0.482098424362772</c:v>
                </c:pt>
                <c:pt idx="7">
                  <c:v>0.53670664875915375</c:v>
                </c:pt>
                <c:pt idx="8">
                  <c:v>0.58549657370146679</c:v>
                </c:pt>
                <c:pt idx="9">
                  <c:v>0.62917295784325378</c:v>
                </c:pt>
                <c:pt idx="10">
                  <c:v>0.66818643577038139</c:v>
                </c:pt>
                <c:pt idx="11">
                  <c:v>0.70299452948276286</c:v>
                </c:pt>
                <c:pt idx="12">
                  <c:v>0.73406268842811762</c:v>
                </c:pt>
                <c:pt idx="13">
                  <c:v>0.76178603661155808</c:v>
                </c:pt>
                <c:pt idx="14">
                  <c:v>0.78650489310103311</c:v>
                </c:pt>
                <c:pt idx="15">
                  <c:v>0.8084807774728805</c:v>
                </c:pt>
                <c:pt idx="16">
                  <c:v>0.8279417776626814</c:v>
                </c:pt>
                <c:pt idx="17">
                  <c:v>0.84502189657634641</c:v>
                </c:pt>
                <c:pt idx="18">
                  <c:v>0.8597358453561067</c:v>
                </c:pt>
                <c:pt idx="19">
                  <c:v>0.87206126263300987</c:v>
                </c:pt>
                <c:pt idx="20">
                  <c:v>0.88167561236945935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29-42C4-9E68-1B63F8F59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104623"/>
        <c:axId val="1038425071"/>
      </c:scatterChart>
      <c:valAx>
        <c:axId val="771104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v_ad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8425071"/>
        <c:crosses val="autoZero"/>
        <c:crossBetween val="midCat"/>
      </c:valAx>
      <c:valAx>
        <c:axId val="103842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711046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beta - r/R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2.1725587228297948E-2"/>
                  <c:y val="6.21105917873064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xVal>
            <c:numRef>
              <c:f>diseño!$C$7:$C$24</c:f>
              <c:numCache>
                <c:formatCode>General</c:formatCode>
                <c:ptCount val="18"/>
                <c:pt idx="0">
                  <c:v>0.15</c:v>
                </c:pt>
                <c:pt idx="1">
                  <c:v>0.2</c:v>
                </c:pt>
                <c:pt idx="2">
                  <c:v>0.25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0.45</c:v>
                </c:pt>
                <c:pt idx="7">
                  <c:v>0.5</c:v>
                </c:pt>
                <c:pt idx="8">
                  <c:v>0.55000000000000004</c:v>
                </c:pt>
                <c:pt idx="9">
                  <c:v>0.6</c:v>
                </c:pt>
                <c:pt idx="10">
                  <c:v>0.65</c:v>
                </c:pt>
                <c:pt idx="11">
                  <c:v>0.7</c:v>
                </c:pt>
                <c:pt idx="12">
                  <c:v>0.75</c:v>
                </c:pt>
                <c:pt idx="13">
                  <c:v>0.8</c:v>
                </c:pt>
                <c:pt idx="14">
                  <c:v>0.85</c:v>
                </c:pt>
                <c:pt idx="15">
                  <c:v>0.9</c:v>
                </c:pt>
                <c:pt idx="16">
                  <c:v>0.95</c:v>
                </c:pt>
                <c:pt idx="17">
                  <c:v>1</c:v>
                </c:pt>
              </c:numCache>
            </c:numRef>
          </c:xVal>
          <c:yVal>
            <c:numRef>
              <c:f>diseño!$F$7:$F$24</c:f>
              <c:numCache>
                <c:formatCode>General</c:formatCode>
                <c:ptCount val="18"/>
                <c:pt idx="0">
                  <c:v>86.627426610142891</c:v>
                </c:pt>
                <c:pt idx="1">
                  <c:v>79.867429726236296</c:v>
                </c:pt>
                <c:pt idx="2">
                  <c:v>73.748948962375522</c:v>
                </c:pt>
                <c:pt idx="3">
                  <c:v>68.291973592017968</c:v>
                </c:pt>
                <c:pt idx="4">
                  <c:v>63.468321496434257</c:v>
                </c:pt>
                <c:pt idx="5">
                  <c:v>59.223472564071784</c:v>
                </c:pt>
                <c:pt idx="6">
                  <c:v>55.492493744042761</c:v>
                </c:pt>
                <c:pt idx="7">
                  <c:v>52.209826083748737</c:v>
                </c:pt>
                <c:pt idx="8">
                  <c:v>49.314435718177641</c:v>
                </c:pt>
                <c:pt idx="9">
                  <c:v>46.752000253232609</c:v>
                </c:pt>
                <c:pt idx="10">
                  <c:v>44.475410093883241</c:v>
                </c:pt>
                <c:pt idx="11">
                  <c:v>42.444414644719558</c:v>
                </c:pt>
                <c:pt idx="12">
                  <c:v>40.624899565134655</c:v>
                </c:pt>
                <c:pt idx="13">
                  <c:v>38.988057838001424</c:v>
                </c:pt>
                <c:pt idx="14">
                  <c:v>37.509584899850637</c:v>
                </c:pt>
                <c:pt idx="15">
                  <c:v>36.168954392911132</c:v>
                </c:pt>
                <c:pt idx="16">
                  <c:v>34.948792434022778</c:v>
                </c:pt>
                <c:pt idx="17">
                  <c:v>33.834349379290728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4-477A-8205-192C61A84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922655"/>
        <c:axId val="761334735"/>
      </c:scatterChart>
      <c:valAx>
        <c:axId val="662922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r/R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1334735"/>
        <c:crosses val="autoZero"/>
        <c:crossBetween val="midCat"/>
      </c:valAx>
      <c:valAx>
        <c:axId val="76133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beta(º)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2922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c/R -</a:t>
            </a:r>
            <a:r>
              <a:rPr lang="es-ES" baseline="0"/>
              <a:t> r/R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6.8771747842896885E-2"/>
                  <c:y val="0.235767759299649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xVal>
            <c:numRef>
              <c:f>diseño!$C$7:$C$24</c:f>
              <c:numCache>
                <c:formatCode>General</c:formatCode>
                <c:ptCount val="18"/>
                <c:pt idx="0">
                  <c:v>0.15</c:v>
                </c:pt>
                <c:pt idx="1">
                  <c:v>0.2</c:v>
                </c:pt>
                <c:pt idx="2">
                  <c:v>0.25</c:v>
                </c:pt>
                <c:pt idx="3">
                  <c:v>0.3</c:v>
                </c:pt>
                <c:pt idx="4">
                  <c:v>0.35</c:v>
                </c:pt>
                <c:pt idx="5">
                  <c:v>0.4</c:v>
                </c:pt>
                <c:pt idx="6">
                  <c:v>0.45</c:v>
                </c:pt>
                <c:pt idx="7">
                  <c:v>0.5</c:v>
                </c:pt>
                <c:pt idx="8">
                  <c:v>0.55000000000000004</c:v>
                </c:pt>
                <c:pt idx="9">
                  <c:v>0.6</c:v>
                </c:pt>
                <c:pt idx="10">
                  <c:v>0.65</c:v>
                </c:pt>
                <c:pt idx="11">
                  <c:v>0.7</c:v>
                </c:pt>
                <c:pt idx="12">
                  <c:v>0.75</c:v>
                </c:pt>
                <c:pt idx="13">
                  <c:v>0.8</c:v>
                </c:pt>
                <c:pt idx="14">
                  <c:v>0.85</c:v>
                </c:pt>
                <c:pt idx="15">
                  <c:v>0.9</c:v>
                </c:pt>
                <c:pt idx="16">
                  <c:v>0.95</c:v>
                </c:pt>
                <c:pt idx="17">
                  <c:v>1</c:v>
                </c:pt>
              </c:numCache>
            </c:numRef>
          </c:xVal>
          <c:yVal>
            <c:numRef>
              <c:f>diseño!$D$7:$D$24</c:f>
              <c:numCache>
                <c:formatCode>General</c:formatCode>
                <c:ptCount val="18"/>
                <c:pt idx="0">
                  <c:v>0.12918343808652444</c:v>
                </c:pt>
                <c:pt idx="1">
                  <c:v>0.13231598355989987</c:v>
                </c:pt>
                <c:pt idx="2">
                  <c:v>0.13538569681637871</c:v>
                </c:pt>
                <c:pt idx="3">
                  <c:v>0.13616058239622306</c:v>
                </c:pt>
                <c:pt idx="4">
                  <c:v>0.13476285587191217</c:v>
                </c:pt>
                <c:pt idx="5">
                  <c:v>0.13176414360360494</c:v>
                </c:pt>
                <c:pt idx="6">
                  <c:v>0.12773066165730468</c:v>
                </c:pt>
                <c:pt idx="7">
                  <c:v>0.12310964263869774</c:v>
                </c:pt>
                <c:pt idx="8">
                  <c:v>0.11822113231050267</c:v>
                </c:pt>
                <c:pt idx="9">
                  <c:v>0.11328056325771768</c:v>
                </c:pt>
                <c:pt idx="10">
                  <c:v>0.10842584535237203</c:v>
                </c:pt>
                <c:pt idx="11">
                  <c:v>0.10374054602203581</c:v>
                </c:pt>
                <c:pt idx="12">
                  <c:v>9.9271459347342661E-2</c:v>
                </c:pt>
                <c:pt idx="13">
                  <c:v>9.504115045905942E-2</c:v>
                </c:pt>
                <c:pt idx="14">
                  <c:v>9.1056613598963346E-2</c:v>
                </c:pt>
                <c:pt idx="15">
                  <c:v>8.7315121382035857E-2</c:v>
                </c:pt>
                <c:pt idx="16">
                  <c:v>8.3808116602375679E-2</c:v>
                </c:pt>
                <c:pt idx="17">
                  <c:v>8.052376835351073E-2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C-42AD-BFA3-C3F87A9EA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924255"/>
        <c:axId val="945574639"/>
      </c:scatterChart>
      <c:valAx>
        <c:axId val="662924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r/R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45574639"/>
        <c:crosses val="autoZero"/>
        <c:crossBetween val="midCat"/>
      </c:valAx>
      <c:valAx>
        <c:axId val="94557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c/R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2924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636983</xdr:colOff>
      <xdr:row>35</xdr:row>
      <xdr:rowOff>170258</xdr:rowOff>
    </xdr:from>
    <xdr:to>
      <xdr:col>8</xdr:col>
      <xdr:colOff>636983</xdr:colOff>
      <xdr:row>50</xdr:row>
      <xdr:rowOff>55958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427C193-0C88-4C6F-A932-55CC418032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720328</xdr:colOff>
      <xdr:row>51</xdr:row>
      <xdr:rowOff>3572</xdr:rowOff>
    </xdr:from>
    <xdr:to>
      <xdr:col>8</xdr:col>
      <xdr:colOff>720328</xdr:colOff>
      <xdr:row>65</xdr:row>
      <xdr:rowOff>79772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ED66E4B-3FF0-4F9C-BFA0-7F52E66C5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172640</xdr:colOff>
      <xdr:row>36</xdr:row>
      <xdr:rowOff>27386</xdr:rowOff>
    </xdr:from>
    <xdr:to>
      <xdr:col>15</xdr:col>
      <xdr:colOff>172640</xdr:colOff>
      <xdr:row>50</xdr:row>
      <xdr:rowOff>103586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46EFB3F-79D0-4A57-9701-2303026F2F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148828</xdr:colOff>
      <xdr:row>51</xdr:row>
      <xdr:rowOff>39290</xdr:rowOff>
    </xdr:from>
    <xdr:to>
      <xdr:col>15</xdr:col>
      <xdr:colOff>148828</xdr:colOff>
      <xdr:row>65</xdr:row>
      <xdr:rowOff>115490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0B330B6-6EE5-4394-B3F5-4941D2E753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5953</xdr:colOff>
      <xdr:row>21</xdr:row>
      <xdr:rowOff>170259</xdr:rowOff>
    </xdr:from>
    <xdr:to>
      <xdr:col>34</xdr:col>
      <xdr:colOff>5953</xdr:colOff>
      <xdr:row>36</xdr:row>
      <xdr:rowOff>55959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DABBE65-7669-4305-AD95-7DB2A31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172641</xdr:colOff>
      <xdr:row>21</xdr:row>
      <xdr:rowOff>146445</xdr:rowOff>
    </xdr:from>
    <xdr:to>
      <xdr:col>40</xdr:col>
      <xdr:colOff>172641</xdr:colOff>
      <xdr:row>36</xdr:row>
      <xdr:rowOff>32145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2B9AC29-2321-4429-9A2A-C82D4955B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17859</xdr:colOff>
      <xdr:row>37</xdr:row>
      <xdr:rowOff>146447</xdr:rowOff>
    </xdr:from>
    <xdr:to>
      <xdr:col>34</xdr:col>
      <xdr:colOff>17859</xdr:colOff>
      <xdr:row>52</xdr:row>
      <xdr:rowOff>32147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A0C1B56-D5DA-4014-9374-0E680B7ACE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208358</xdr:colOff>
      <xdr:row>37</xdr:row>
      <xdr:rowOff>86915</xdr:rowOff>
    </xdr:from>
    <xdr:to>
      <xdr:col>40</xdr:col>
      <xdr:colOff>208358</xdr:colOff>
      <xdr:row>51</xdr:row>
      <xdr:rowOff>163115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41BE399-9C21-47F8-BABD-422BCD26BE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29765</xdr:colOff>
      <xdr:row>53</xdr:row>
      <xdr:rowOff>39290</xdr:rowOff>
    </xdr:from>
    <xdr:to>
      <xdr:col>34</xdr:col>
      <xdr:colOff>29765</xdr:colOff>
      <xdr:row>67</xdr:row>
      <xdr:rowOff>115490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03B7323-C1E0-48FE-95A9-0C35C41C25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296332</xdr:colOff>
      <xdr:row>32</xdr:row>
      <xdr:rowOff>131233</xdr:rowOff>
    </xdr:from>
    <xdr:to>
      <xdr:col>11</xdr:col>
      <xdr:colOff>402165</xdr:colOff>
      <xdr:row>50</xdr:row>
      <xdr:rowOff>148167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CF5CF0-C967-49B5-9F9B-44AADB4E0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687917</xdr:colOff>
      <xdr:row>32</xdr:row>
      <xdr:rowOff>152397</xdr:rowOff>
    </xdr:from>
    <xdr:to>
      <xdr:col>18</xdr:col>
      <xdr:colOff>476250</xdr:colOff>
      <xdr:row>51</xdr:row>
      <xdr:rowOff>10582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9078851-3C9A-47DC-85F0-9D3393380C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A37-A6CF-45EB-9F35-577B07D17012}">
  <sheetPr codeName="Hoja1"/>
  <dimension ref="D5:AQ54"/>
  <sheetViews>
    <sheetView topLeftCell="A13" zoomScale="80" zoomScaleNormal="80" workbookViewId="0">
      <selection activeCell="K28" sqref="K28"/>
    </sheetView>
  </sheetViews>
  <sheetFormatPr baseColWidth="10" defaultRowHeight="15" x14ac:dyDescent="0.25"/>
  <cols>
    <col min="4" max="5" width="11.42578125" customWidth="1"/>
    <col min="7" max="7" width="15.85546875" customWidth="1"/>
    <col min="8" max="11" width="11.42578125" customWidth="1"/>
    <col min="13" max="14" width="11.42578125" customWidth="1"/>
    <col min="16" max="17" width="11.42578125" customWidth="1"/>
    <col min="18" max="18" width="14.5703125" customWidth="1"/>
    <col min="19" max="19" width="14.7109375" customWidth="1"/>
    <col min="21" max="21" width="14.7109375" customWidth="1"/>
    <col min="22" max="22" width="14.85546875" customWidth="1"/>
    <col min="23" max="23" width="15.5703125" customWidth="1"/>
    <col min="24" max="24" width="12.5703125" customWidth="1"/>
  </cols>
  <sheetData>
    <row r="5" spans="4:22" x14ac:dyDescent="0.25">
      <c r="D5" t="s">
        <v>10</v>
      </c>
      <c r="E5" t="s">
        <v>11</v>
      </c>
      <c r="G5" t="s">
        <v>5</v>
      </c>
      <c r="H5" t="s">
        <v>6</v>
      </c>
      <c r="I5" t="s">
        <v>7</v>
      </c>
      <c r="J5" t="s">
        <v>8</v>
      </c>
      <c r="K5" t="s">
        <v>9</v>
      </c>
      <c r="M5" t="s">
        <v>17</v>
      </c>
      <c r="N5" t="s">
        <v>18</v>
      </c>
      <c r="P5" t="s">
        <v>0</v>
      </c>
      <c r="Q5" t="s">
        <v>1</v>
      </c>
      <c r="R5" t="s">
        <v>19</v>
      </c>
      <c r="S5" t="s">
        <v>20</v>
      </c>
      <c r="U5" t="s">
        <v>21</v>
      </c>
      <c r="V5" t="s">
        <v>2</v>
      </c>
    </row>
    <row r="6" spans="4:22" x14ac:dyDescent="0.25">
      <c r="D6">
        <v>0.15</v>
      </c>
      <c r="E6">
        <f xml:space="preserve"> (-0.007370064869) + (0.8697853097) * D6 +(-1.955642218) * D6^2 + (1.350499835) * D6^3 +(0.6862817969) * D6^4 + (-1.378424082) * D6^5 + (0.5139528208) * D6^6</f>
        <v>8.3902328948928184E-2</v>
      </c>
      <c r="G6">
        <f xml:space="preserve"> ((1.929429941) + (-2.992132759) * D6 +(0.8165636428) * D6^2 + (5.655939117) * D6^3 +(-9.964740345) * D6^4 + (7.004754441) * D6^5 + (-1.859268084) * D6^6) * 180/PI()</f>
        <v>86.719316565547373</v>
      </c>
      <c r="H6">
        <f xml:space="preserve"> ATAN( $E$27 / D6 ) * 180/PI()</f>
        <v>67.846598089173952</v>
      </c>
      <c r="I6">
        <f xml:space="preserve"> ATAN(U6 / M6) * 180/PI()</f>
        <v>8.223990518273375</v>
      </c>
      <c r="J6">
        <f xml:space="preserve"> G6 - H6 - I6</f>
        <v>10.648727958100046</v>
      </c>
      <c r="K6">
        <f xml:space="preserve"> H6 + I6</f>
        <v>76.07058860744732</v>
      </c>
      <c r="M6">
        <f xml:space="preserve"> ($E$27^2 + D6^2)^0.5</f>
        <v>0.39778549043422889</v>
      </c>
      <c r="N6">
        <f xml:space="preserve"> (M6^2 + U6^2)^0.5</f>
        <v>0.40191865164301965</v>
      </c>
      <c r="P6">
        <f xml:space="preserve"> 6.28 * (J6 * PI()/180)</f>
        <v>1.1671716860331569</v>
      </c>
      <c r="Q6">
        <f xml:space="preserve"> 0.01 + 0.3 * (J6 * PI()/180)^2</f>
        <v>2.0362664900281061E-2</v>
      </c>
      <c r="R6">
        <f xml:space="preserve"> 0.5 * $E$28 * N6^2 *E6 * (P6 * COS(K6 *  PI()/180) - Q6 * SIN(K6 * PI()/180))</f>
        <v>1.0620701128665415E-2</v>
      </c>
      <c r="S6">
        <f xml:space="preserve"> 0.5 * $E$28 * N6^2 * E6 * D6 * (P6 * SIN(K6 *  PI()/180) + Q6 * COS(K6 *  PI()/180))</f>
        <v>6.9392079525397209E-3</v>
      </c>
      <c r="U6">
        <v>5.74917919232215E-2</v>
      </c>
      <c r="V6">
        <f xml:space="preserve">  8 * PI() * D6 * U6 * COS(H6 *  PI()/180) * ($E$27 + U6 * COS(H6 *  PI()/180)) - $E$28 * N6^2 * E6 * (P6 * COS(K6 *  PI()/180) - Q6 * SIN(K6 *  PI()/180))</f>
        <v>1.0641262884156205E-2</v>
      </c>
    </row>
    <row r="7" spans="4:22" x14ac:dyDescent="0.25">
      <c r="D7">
        <v>0.2</v>
      </c>
      <c r="E7">
        <f t="shared" ref="E7:E23" si="0" xml:space="preserve"> (-0.007370064869) + (0.8697853097) * D7 +(-1.955642218) * D7^2 + (1.350499835) * D7^3 +(0.6862817969) * D7^4 + (-1.378424082) * D7^5 + (0.5139528208) * D7^6</f>
        <v>9.9855155180331223E-2</v>
      </c>
      <c r="G7">
        <f t="shared" ref="G7:G23" si="1" xml:space="preserve"> ((1.929429941) + (-2.992132759) * D7 +(0.8165636428) * D7^2 + (5.655939117) * D7^3 +(-9.964740345) * D7^4 + (7.004754441) * D7^5 + (-1.859268084) * D7^6) * 180/PI()</f>
        <v>79.932906067185797</v>
      </c>
      <c r="H7">
        <f t="shared" ref="H7:H23" si="2" xml:space="preserve"> ATAN($E$27/D7) * 180/PI()</f>
        <v>61.504292742271211</v>
      </c>
      <c r="I7">
        <f t="shared" ref="I7:I23" si="3" xml:space="preserve"> ATAN(U7 / M7) * 180/PI()</f>
        <v>7.8543028598703106</v>
      </c>
      <c r="J7">
        <f t="shared" ref="J7:J23" si="4" xml:space="preserve"> G7 - H7 - I7</f>
        <v>10.574310465044276</v>
      </c>
      <c r="K7">
        <f t="shared" ref="K7:K23" si="5" xml:space="preserve"> H7 + I7</f>
        <v>69.35859560214152</v>
      </c>
      <c r="M7">
        <f t="shared" ref="M7:M23" si="6" xml:space="preserve"> ($E$27^2 + D7^2)^0.5</f>
        <v>0.4192055538754228</v>
      </c>
      <c r="N7">
        <f t="shared" ref="N7:N23" si="7" xml:space="preserve"> (M7^2 + U7^2)^0.5</f>
        <v>0.42317546052882554</v>
      </c>
      <c r="P7">
        <f t="shared" ref="P7:P23" si="8" xml:space="preserve"> 6.28 * (J7 * PI()/180)</f>
        <v>1.1590150319067645</v>
      </c>
      <c r="Q7">
        <f t="shared" ref="Q7:Q23" si="9" xml:space="preserve"> 0.01 + 0.3 * (J7 * PI()/180)^2</f>
        <v>2.0218334244182103E-2</v>
      </c>
      <c r="R7">
        <f t="shared" ref="R7:R23" si="10" xml:space="preserve"> 0.5 * $E$28 * N7^2 *E7 * (P7 * COS(K7 *  PI()/180) - Q7 * SIN(K7 * PI()/180))</f>
        <v>2.0903113667823256E-2</v>
      </c>
      <c r="S7">
        <f t="shared" ref="S7:S23" si="11" xml:space="preserve"> 0.5 * $E$28 * N7^2 * E7 * D7 * (P7 * SIN(K7 *  PI()/180) + Q7 * COS(K7 *  PI()/180))</f>
        <v>1.1713365309805025E-2</v>
      </c>
      <c r="U7">
        <v>5.7828833584843711E-2</v>
      </c>
      <c r="V7">
        <f t="shared" ref="V7:V23" si="12" xml:space="preserve">  8 * PI() * D7 * U7 * COS(H7 *  PI()/180) * ($E$27 + U7 * COS(H7 *  PI()/180)) - $E$28 * N7^2 * E7 * (P7 * COS(K7 *  PI()/180) - Q7 * SIN(K7 *  PI()/180))</f>
        <v>1.3112834418560301E-2</v>
      </c>
    </row>
    <row r="8" spans="4:22" x14ac:dyDescent="0.25">
      <c r="D8">
        <v>0.25</v>
      </c>
      <c r="E8">
        <f t="shared" si="0"/>
        <v>0.11041033161732815</v>
      </c>
      <c r="G8">
        <f t="shared" si="1"/>
        <v>73.812314600246708</v>
      </c>
      <c r="H8">
        <f t="shared" si="2"/>
        <v>55.840229393408968</v>
      </c>
      <c r="I8">
        <f t="shared" si="3"/>
        <v>7.4045427803408481</v>
      </c>
      <c r="J8">
        <f t="shared" si="4"/>
        <v>10.567542426496892</v>
      </c>
      <c r="K8">
        <f t="shared" si="5"/>
        <v>63.244772173749816</v>
      </c>
      <c r="M8">
        <f t="shared" si="6"/>
        <v>0.44523397938612008</v>
      </c>
      <c r="N8">
        <f t="shared" si="7"/>
        <v>0.44897803074807624</v>
      </c>
      <c r="P8">
        <f t="shared" si="8"/>
        <v>1.1582732096916071</v>
      </c>
      <c r="Q8">
        <f t="shared" si="9"/>
        <v>2.0205258034980862E-2</v>
      </c>
      <c r="R8">
        <f t="shared" si="10"/>
        <v>3.361128591634218E-2</v>
      </c>
      <c r="S8">
        <f t="shared" si="11"/>
        <v>1.741631139771075E-2</v>
      </c>
      <c r="U8">
        <v>5.7861694534644147E-2</v>
      </c>
      <c r="V8">
        <f t="shared" si="12"/>
        <v>1.4618075778821321E-2</v>
      </c>
    </row>
    <row r="9" spans="4:22" x14ac:dyDescent="0.25">
      <c r="D9">
        <v>0.3</v>
      </c>
      <c r="E9">
        <f t="shared" si="0"/>
        <v>0.11660520760799323</v>
      </c>
      <c r="G9">
        <f t="shared" si="1"/>
        <v>68.350596084478511</v>
      </c>
      <c r="H9">
        <f t="shared" si="2"/>
        <v>50.844485723624629</v>
      </c>
      <c r="I9">
        <f t="shared" si="3"/>
        <v>6.9453538004669992</v>
      </c>
      <c r="J9">
        <f t="shared" si="4"/>
        <v>10.560756560386881</v>
      </c>
      <c r="K9">
        <f t="shared" si="5"/>
        <v>57.789839524091626</v>
      </c>
      <c r="M9">
        <f t="shared" si="6"/>
        <v>0.47511398253471765</v>
      </c>
      <c r="N9">
        <f t="shared" si="7"/>
        <v>0.47862617306868727</v>
      </c>
      <c r="P9">
        <f t="shared" si="8"/>
        <v>1.1575294334565507</v>
      </c>
      <c r="Q9">
        <f t="shared" si="9"/>
        <v>2.0192155787138243E-2</v>
      </c>
      <c r="R9">
        <f t="shared" si="10"/>
        <v>4.8074806252187428E-2</v>
      </c>
      <c r="S9">
        <f t="shared" si="11"/>
        <v>2.3804169864599805E-2</v>
      </c>
      <c r="U9">
        <v>5.7876740979230991E-2</v>
      </c>
      <c r="V9">
        <f t="shared" si="12"/>
        <v>1.5435453419247458E-2</v>
      </c>
    </row>
    <row r="10" spans="4:22" x14ac:dyDescent="0.25">
      <c r="D10">
        <v>0.35</v>
      </c>
      <c r="E10">
        <f t="shared" si="0"/>
        <v>0.11939485853152471</v>
      </c>
      <c r="G10">
        <f t="shared" si="1"/>
        <v>63.515235321623614</v>
      </c>
      <c r="H10">
        <f t="shared" si="2"/>
        <v>46.468718970706796</v>
      </c>
      <c r="I10">
        <f t="shared" si="3"/>
        <v>6.4768515246270004</v>
      </c>
      <c r="J10">
        <f t="shared" si="4"/>
        <v>10.569664826289817</v>
      </c>
      <c r="K10">
        <f t="shared" si="5"/>
        <v>52.945570495333797</v>
      </c>
      <c r="M10">
        <f t="shared" si="6"/>
        <v>0.50816660299551364</v>
      </c>
      <c r="N10">
        <f t="shared" si="7"/>
        <v>0.51143080467466429</v>
      </c>
      <c r="P10">
        <f t="shared" si="8"/>
        <v>1.1585058388802285</v>
      </c>
      <c r="Q10">
        <f t="shared" si="9"/>
        <v>2.0209357722825332E-2</v>
      </c>
      <c r="R10">
        <f t="shared" si="10"/>
        <v>6.3890651192466161E-2</v>
      </c>
      <c r="S10">
        <f t="shared" si="11"/>
        <v>3.0716178990509827E-2</v>
      </c>
      <c r="U10">
        <v>5.7690307419657798E-2</v>
      </c>
      <c r="V10">
        <f t="shared" si="12"/>
        <v>1.4876976966482602E-2</v>
      </c>
    </row>
    <row r="11" spans="4:22" x14ac:dyDescent="0.25">
      <c r="D11">
        <v>0.4</v>
      </c>
      <c r="E11">
        <f t="shared" si="0"/>
        <v>0.11963219572595683</v>
      </c>
      <c r="G11">
        <f t="shared" si="1"/>
        <v>59.256606919640177</v>
      </c>
      <c r="H11">
        <f t="shared" si="2"/>
        <v>42.646621558677133</v>
      </c>
      <c r="I11">
        <f t="shared" si="3"/>
        <v>6.0696790396598308</v>
      </c>
      <c r="J11">
        <f t="shared" si="4"/>
        <v>10.540306321303213</v>
      </c>
      <c r="K11">
        <f t="shared" si="5"/>
        <v>48.716300598336964</v>
      </c>
      <c r="M11">
        <f t="shared" si="6"/>
        <v>0.54381365962984052</v>
      </c>
      <c r="N11">
        <f t="shared" si="7"/>
        <v>0.54687944396892174</v>
      </c>
      <c r="P11">
        <f t="shared" si="8"/>
        <v>1.1552879507062179</v>
      </c>
      <c r="Q11">
        <f t="shared" si="9"/>
        <v>2.0152721071698947E-2</v>
      </c>
      <c r="R11">
        <f t="shared" si="10"/>
        <v>8.0192171305142154E-2</v>
      </c>
      <c r="S11">
        <f t="shared" si="11"/>
        <v>3.7844710140066982E-2</v>
      </c>
      <c r="U11">
        <v>5.7825857847134891E-2</v>
      </c>
      <c r="V11">
        <f t="shared" si="12"/>
        <v>1.5337029287115667E-2</v>
      </c>
    </row>
    <row r="12" spans="4:22" x14ac:dyDescent="0.25">
      <c r="D12">
        <v>0.45</v>
      </c>
      <c r="E12">
        <f t="shared" si="0"/>
        <v>0.11805385838510582</v>
      </c>
      <c r="G12">
        <f t="shared" si="1"/>
        <v>55.515235774513521</v>
      </c>
      <c r="H12">
        <f t="shared" si="2"/>
        <v>39.307567875411053</v>
      </c>
      <c r="I12">
        <f t="shared" si="3"/>
        <v>5.6839623865956641</v>
      </c>
      <c r="J12">
        <f t="shared" si="4"/>
        <v>10.523705512506805</v>
      </c>
      <c r="K12">
        <f t="shared" si="5"/>
        <v>44.991530262006719</v>
      </c>
      <c r="M12">
        <f t="shared" si="6"/>
        <v>0.58157828054355676</v>
      </c>
      <c r="N12">
        <f t="shared" si="7"/>
        <v>0.58445183648506316</v>
      </c>
      <c r="P12">
        <f t="shared" si="8"/>
        <v>1.1534683912181121</v>
      </c>
      <c r="Q12">
        <f t="shared" si="9"/>
        <v>2.0120765519437651E-2</v>
      </c>
      <c r="R12">
        <f t="shared" si="10"/>
        <v>9.6964666095248023E-2</v>
      </c>
      <c r="S12">
        <f t="shared" si="11"/>
        <v>4.5170041819106631E-2</v>
      </c>
      <c r="U12">
        <v>5.7884823319788024E-2</v>
      </c>
      <c r="V12">
        <f t="shared" si="12"/>
        <v>1.5381132061197761E-2</v>
      </c>
    </row>
    <row r="13" spans="4:22" x14ac:dyDescent="0.25">
      <c r="D13">
        <v>0.5</v>
      </c>
      <c r="E13">
        <f t="shared" si="0"/>
        <v>0.11527188742475002</v>
      </c>
      <c r="G13">
        <f t="shared" si="1"/>
        <v>52.227859109658233</v>
      </c>
      <c r="H13">
        <f t="shared" si="2"/>
        <v>36.384273638392067</v>
      </c>
      <c r="I13">
        <f t="shared" si="3"/>
        <v>5.3259237697210766</v>
      </c>
      <c r="J13">
        <f t="shared" si="4"/>
        <v>10.517661701545091</v>
      </c>
      <c r="K13">
        <f t="shared" si="5"/>
        <v>41.710197408113146</v>
      </c>
      <c r="M13">
        <f t="shared" si="6"/>
        <v>0.62107430827558785</v>
      </c>
      <c r="N13">
        <f t="shared" si="7"/>
        <v>0.62376723448423343</v>
      </c>
      <c r="P13">
        <f t="shared" si="8"/>
        <v>1.1528059491820302</v>
      </c>
      <c r="Q13">
        <f t="shared" si="9"/>
        <v>2.0109144056068305E-2</v>
      </c>
      <c r="R13">
        <f t="shared" si="10"/>
        <v>0.11399404290239008</v>
      </c>
      <c r="S13">
        <f t="shared" si="11"/>
        <v>5.2612918274162132E-2</v>
      </c>
      <c r="U13">
        <v>5.7898760056746323E-2</v>
      </c>
      <c r="V13">
        <f t="shared" si="12"/>
        <v>1.5113012977705176E-2</v>
      </c>
    </row>
    <row r="14" spans="4:22" x14ac:dyDescent="0.25">
      <c r="D14">
        <v>0.55000000000000004</v>
      </c>
      <c r="E14">
        <f t="shared" si="0"/>
        <v>0.11177118131804362</v>
      </c>
      <c r="G14">
        <f t="shared" si="1"/>
        <v>49.332290072910318</v>
      </c>
      <c r="H14">
        <f t="shared" si="2"/>
        <v>33.816332928085238</v>
      </c>
      <c r="I14">
        <f t="shared" si="3"/>
        <v>4.9976141560906004</v>
      </c>
      <c r="J14">
        <f t="shared" si="4"/>
        <v>10.51834298873448</v>
      </c>
      <c r="K14">
        <f t="shared" si="5"/>
        <v>38.813947084175837</v>
      </c>
      <c r="M14">
        <f t="shared" si="6"/>
        <v>0.66199191566060689</v>
      </c>
      <c r="N14">
        <f t="shared" si="7"/>
        <v>0.66451819690284919</v>
      </c>
      <c r="P14">
        <f t="shared" si="8"/>
        <v>1.1528806228069588</v>
      </c>
      <c r="Q14">
        <f t="shared" si="9"/>
        <v>2.0110453748963655E-2</v>
      </c>
      <c r="R14">
        <f t="shared" si="10"/>
        <v>0.13114532134278253</v>
      </c>
      <c r="S14">
        <f t="shared" si="11"/>
        <v>6.0124747433928288E-2</v>
      </c>
      <c r="U14">
        <v>5.7889011176680161E-2</v>
      </c>
      <c r="V14">
        <f t="shared" si="12"/>
        <v>1.4620254718365422E-2</v>
      </c>
    </row>
    <row r="15" spans="4:22" x14ac:dyDescent="0.25">
      <c r="D15">
        <v>0.6</v>
      </c>
      <c r="E15">
        <f t="shared" si="0"/>
        <v>0.10791273390016479</v>
      </c>
      <c r="G15">
        <f t="shared" si="1"/>
        <v>46.771082891109906</v>
      </c>
      <c r="H15">
        <f t="shared" si="2"/>
        <v>31.551311951845289</v>
      </c>
      <c r="I15">
        <f t="shared" si="3"/>
        <v>4.6986245776633737</v>
      </c>
      <c r="J15">
        <f t="shared" si="4"/>
        <v>10.521146361601243</v>
      </c>
      <c r="K15">
        <f t="shared" si="5"/>
        <v>36.249936529508659</v>
      </c>
      <c r="M15">
        <f t="shared" si="6"/>
        <v>0.70408330217382653</v>
      </c>
      <c r="N15">
        <f t="shared" si="7"/>
        <v>0.7064574559378799</v>
      </c>
      <c r="P15">
        <f t="shared" si="8"/>
        <v>1.1531878911913473</v>
      </c>
      <c r="Q15">
        <f t="shared" si="9"/>
        <v>2.0115843789735487E-2</v>
      </c>
      <c r="R15">
        <f t="shared" si="10"/>
        <v>0.1483373093992747</v>
      </c>
      <c r="S15">
        <f t="shared" si="11"/>
        <v>6.7677232797749787E-2</v>
      </c>
      <c r="U15">
        <v>5.7869168390616579E-2</v>
      </c>
      <c r="V15">
        <f t="shared" si="12"/>
        <v>1.3971462349986086E-2</v>
      </c>
    </row>
    <row r="16" spans="4:22" x14ac:dyDescent="0.25">
      <c r="D16">
        <v>0.65</v>
      </c>
      <c r="E16">
        <f t="shared" si="0"/>
        <v>0.1039426541421979</v>
      </c>
      <c r="G16">
        <f t="shared" si="1"/>
        <v>44.493999582273922</v>
      </c>
      <c r="H16">
        <f t="shared" si="2"/>
        <v>29.544564513826337</v>
      </c>
      <c r="I16">
        <f t="shared" si="3"/>
        <v>4.4271986116400619</v>
      </c>
      <c r="J16">
        <f t="shared" si="4"/>
        <v>10.522236456807523</v>
      </c>
      <c r="K16">
        <f t="shared" si="5"/>
        <v>33.971763125466396</v>
      </c>
      <c r="M16">
        <f t="shared" si="6"/>
        <v>0.7471501163755514</v>
      </c>
      <c r="N16">
        <f t="shared" si="7"/>
        <v>0.74938611897275431</v>
      </c>
      <c r="P16">
        <f t="shared" si="8"/>
        <v>1.1533073729045489</v>
      </c>
      <c r="Q16">
        <f t="shared" si="9"/>
        <v>2.0117940102002047E-2</v>
      </c>
      <c r="R16">
        <f t="shared" si="10"/>
        <v>0.16552181461817184</v>
      </c>
      <c r="S16">
        <f t="shared" si="11"/>
        <v>7.5253940912308942E-2</v>
      </c>
      <c r="U16">
        <v>5.7846857382636903E-2</v>
      </c>
      <c r="V16">
        <f t="shared" si="12"/>
        <v>1.3217735783235374E-2</v>
      </c>
    </row>
    <row r="17" spans="4:22" x14ac:dyDescent="0.25">
      <c r="D17">
        <v>0.7</v>
      </c>
      <c r="E17">
        <f t="shared" si="0"/>
        <v>0.10000696789424918</v>
      </c>
      <c r="G17">
        <f t="shared" si="1"/>
        <v>42.45927822535927</v>
      </c>
      <c r="H17">
        <f t="shared" si="2"/>
        <v>27.75847313155365</v>
      </c>
      <c r="I17">
        <f t="shared" si="3"/>
        <v>4.1809228279331911</v>
      </c>
      <c r="J17">
        <f t="shared" si="4"/>
        <v>10.519882265872429</v>
      </c>
      <c r="K17">
        <f t="shared" si="5"/>
        <v>31.939395959486841</v>
      </c>
      <c r="M17">
        <f t="shared" si="6"/>
        <v>0.79103305645213084</v>
      </c>
      <c r="N17">
        <f t="shared" si="7"/>
        <v>0.79314376485495097</v>
      </c>
      <c r="P17">
        <f t="shared" si="8"/>
        <v>1.15304933785907</v>
      </c>
      <c r="Q17">
        <f t="shared" si="9"/>
        <v>2.0113413136972392E-2</v>
      </c>
      <c r="R17">
        <f t="shared" si="10"/>
        <v>0.18266774994007764</v>
      </c>
      <c r="S17">
        <f t="shared" si="11"/>
        <v>8.2843851018896353E-2</v>
      </c>
      <c r="U17">
        <v>5.7825040668259289E-2</v>
      </c>
      <c r="V17">
        <f t="shared" si="12"/>
        <v>1.2395704486432346E-2</v>
      </c>
    </row>
    <row r="18" spans="4:22" x14ac:dyDescent="0.25">
      <c r="D18">
        <v>0.75</v>
      </c>
      <c r="E18">
        <f t="shared" si="0"/>
        <v>9.6172201597796783E-2</v>
      </c>
      <c r="G18">
        <f t="shared" si="1"/>
        <v>40.633702787616329</v>
      </c>
      <c r="H18">
        <f t="shared" si="2"/>
        <v>26.161501659252149</v>
      </c>
      <c r="I18">
        <f t="shared" si="3"/>
        <v>3.9571447235506176</v>
      </c>
      <c r="J18">
        <f t="shared" si="4"/>
        <v>10.515056404813562</v>
      </c>
      <c r="K18">
        <f t="shared" si="5"/>
        <v>30.118646382802766</v>
      </c>
      <c r="M18">
        <f t="shared" si="6"/>
        <v>0.8356035521705254</v>
      </c>
      <c r="N18">
        <f t="shared" si="7"/>
        <v>0.83760043628985803</v>
      </c>
      <c r="P18">
        <f t="shared" si="8"/>
        <v>1.1525203912646222</v>
      </c>
      <c r="Q18">
        <f t="shared" si="9"/>
        <v>2.0104136468118063E-2</v>
      </c>
      <c r="R18">
        <f t="shared" si="10"/>
        <v>0.19974974807427001</v>
      </c>
      <c r="S18">
        <f t="shared" si="11"/>
        <v>9.0436736525961139E-2</v>
      </c>
      <c r="U18">
        <v>5.7803066293757831E-2</v>
      </c>
      <c r="V18">
        <f t="shared" si="12"/>
        <v>1.1530809967928379E-2</v>
      </c>
    </row>
    <row r="19" spans="4:22" x14ac:dyDescent="0.25">
      <c r="D19">
        <v>0.8</v>
      </c>
      <c r="E19">
        <f t="shared" si="0"/>
        <v>9.245174796727515E-2</v>
      </c>
      <c r="G19">
        <f t="shared" si="1"/>
        <v>38.991474509532573</v>
      </c>
      <c r="H19">
        <f t="shared" si="2"/>
        <v>24.727252188698142</v>
      </c>
      <c r="I19">
        <f t="shared" si="3"/>
        <v>3.7613878427044516</v>
      </c>
      <c r="J19">
        <f t="shared" si="4"/>
        <v>10.50283447812998</v>
      </c>
      <c r="K19">
        <f t="shared" si="5"/>
        <v>28.488640031402593</v>
      </c>
      <c r="M19">
        <f t="shared" si="6"/>
        <v>0.88075722897970021</v>
      </c>
      <c r="N19">
        <f t="shared" si="7"/>
        <v>0.88265855998188147</v>
      </c>
      <c r="P19">
        <f t="shared" si="8"/>
        <v>1.1511807864939887</v>
      </c>
      <c r="Q19">
        <f t="shared" si="9"/>
        <v>2.0080661511569321E-2</v>
      </c>
      <c r="R19">
        <f t="shared" si="10"/>
        <v>0.21656075858802534</v>
      </c>
      <c r="S19">
        <f t="shared" si="11"/>
        <v>9.7971369867754024E-2</v>
      </c>
      <c r="U19">
        <v>5.7903688218354739E-2</v>
      </c>
      <c r="V19">
        <f t="shared" si="12"/>
        <v>1.2090477586983284E-2</v>
      </c>
    </row>
    <row r="20" spans="4:22" x14ac:dyDescent="0.25">
      <c r="D20">
        <v>0.85</v>
      </c>
      <c r="E20">
        <f t="shared" si="0"/>
        <v>8.883801364089236E-2</v>
      </c>
      <c r="G20">
        <f t="shared" si="1"/>
        <v>37.511884847366474</v>
      </c>
      <c r="H20">
        <f t="shared" si="2"/>
        <v>23.433610989075067</v>
      </c>
      <c r="I20">
        <f t="shared" si="3"/>
        <v>3.5763100798963192</v>
      </c>
      <c r="J20">
        <f t="shared" si="4"/>
        <v>10.501963778395087</v>
      </c>
      <c r="K20">
        <f t="shared" si="5"/>
        <v>27.009921068971387</v>
      </c>
      <c r="M20">
        <f t="shared" si="6"/>
        <v>0.92640881709966461</v>
      </c>
      <c r="N20">
        <f t="shared" si="7"/>
        <v>0.92821642117934733</v>
      </c>
      <c r="P20">
        <f t="shared" si="8"/>
        <v>1.1510853519893605</v>
      </c>
      <c r="Q20">
        <f t="shared" si="9"/>
        <v>2.00789901788445E-2</v>
      </c>
      <c r="R20">
        <f t="shared" si="10"/>
        <v>0.23339404825190549</v>
      </c>
      <c r="S20">
        <f t="shared" si="11"/>
        <v>0.10552427604634182</v>
      </c>
      <c r="U20">
        <v>5.7900156709595869E-2</v>
      </c>
      <c r="V20">
        <f t="shared" si="12"/>
        <v>1.1619800806643432E-2</v>
      </c>
    </row>
    <row r="21" spans="4:22" x14ac:dyDescent="0.25">
      <c r="D21">
        <v>0.9</v>
      </c>
      <c r="E21">
        <f t="shared" si="0"/>
        <v>8.5340348800682753E-2</v>
      </c>
      <c r="G21">
        <f t="shared" si="1"/>
        <v>36.175789973271918</v>
      </c>
      <c r="H21">
        <f t="shared" si="2"/>
        <v>22.262011749308154</v>
      </c>
      <c r="I21">
        <f t="shared" si="3"/>
        <v>3.4066152291549332</v>
      </c>
      <c r="J21">
        <f t="shared" si="4"/>
        <v>10.50716299480883</v>
      </c>
      <c r="K21">
        <f t="shared" si="5"/>
        <v>25.668626978463088</v>
      </c>
      <c r="M21">
        <f t="shared" si="6"/>
        <v>0.97248819859163327</v>
      </c>
      <c r="N21">
        <f t="shared" si="7"/>
        <v>0.97420965247158409</v>
      </c>
      <c r="P21">
        <f t="shared" si="8"/>
        <v>1.1516552208236059</v>
      </c>
      <c r="Q21">
        <f t="shared" si="9"/>
        <v>2.0088972278162413E-2</v>
      </c>
      <c r="R21">
        <f t="shared" si="10"/>
        <v>0.25010543924331841</v>
      </c>
      <c r="S21">
        <f t="shared" si="11"/>
        <v>0.11305330864893144</v>
      </c>
      <c r="U21">
        <v>5.7889123061285866E-2</v>
      </c>
      <c r="V21">
        <f t="shared" si="12"/>
        <v>1.1169336092395787E-2</v>
      </c>
    </row>
    <row r="22" spans="4:22" x14ac:dyDescent="0.25">
      <c r="D22">
        <v>0.95</v>
      </c>
      <c r="E22">
        <f t="shared" si="0"/>
        <v>8.2028758761792442E-2</v>
      </c>
      <c r="G22">
        <f t="shared" si="1"/>
        <v>34.960886833012772</v>
      </c>
      <c r="H22">
        <f t="shared" si="2"/>
        <v>21.196816951500061</v>
      </c>
      <c r="I22">
        <f t="shared" si="3"/>
        <v>3.2511491869677207</v>
      </c>
      <c r="J22">
        <f t="shared" si="4"/>
        <v>10.51292069454499</v>
      </c>
      <c r="K22">
        <f t="shared" si="5"/>
        <v>24.44796613846778</v>
      </c>
      <c r="M22">
        <f t="shared" si="6"/>
        <v>1.0189373368367656</v>
      </c>
      <c r="N22">
        <f t="shared" si="7"/>
        <v>1.0205799262797168</v>
      </c>
      <c r="P22">
        <f t="shared" si="8"/>
        <v>1.1522863031589956</v>
      </c>
      <c r="Q22">
        <f t="shared" si="9"/>
        <v>2.0100032388087431E-2</v>
      </c>
      <c r="R22">
        <f t="shared" si="10"/>
        <v>0.2667389399521149</v>
      </c>
      <c r="S22">
        <f t="shared" si="11"/>
        <v>0.12058062776393677</v>
      </c>
      <c r="U22">
        <v>5.7879957887960763E-2</v>
      </c>
      <c r="V22">
        <f t="shared" si="12"/>
        <v>1.0743106089347476E-2</v>
      </c>
    </row>
    <row r="23" spans="4:22" x14ac:dyDescent="0.25">
      <c r="D23">
        <v>1</v>
      </c>
      <c r="E23">
        <f t="shared" si="0"/>
        <v>7.908339753099991E-2</v>
      </c>
      <c r="G23">
        <f t="shared" si="1"/>
        <v>33.835790761267774</v>
      </c>
      <c r="H23">
        <f t="shared" si="2"/>
        <v>20.224806327744545</v>
      </c>
      <c r="I23">
        <f t="shared" si="3"/>
        <v>3.109932106372407</v>
      </c>
      <c r="J23">
        <f t="shared" si="4"/>
        <v>10.501052327150822</v>
      </c>
      <c r="K23">
        <f t="shared" si="5"/>
        <v>23.334738434116954</v>
      </c>
      <c r="M23">
        <f t="shared" si="6"/>
        <v>1.0657078851167425</v>
      </c>
      <c r="N23">
        <f t="shared" si="7"/>
        <v>1.0672796883289977</v>
      </c>
      <c r="P23">
        <f t="shared" si="8"/>
        <v>1.1509854508472059</v>
      </c>
      <c r="Q23">
        <f t="shared" si="9"/>
        <v>2.007724077088786E-2</v>
      </c>
      <c r="R23">
        <f t="shared" si="10"/>
        <v>0.28346067990633755</v>
      </c>
      <c r="S23">
        <f t="shared" si="11"/>
        <v>0.1281904209157165</v>
      </c>
      <c r="U23">
        <v>5.7901957822187655E-2</v>
      </c>
      <c r="V23">
        <f t="shared" si="12"/>
        <v>1.0350676226801636E-2</v>
      </c>
    </row>
    <row r="24" spans="4:22" x14ac:dyDescent="0.25">
      <c r="D24">
        <f xml:space="preserve"> (D23 - D6) / 17</f>
        <v>4.9999999999999996E-2</v>
      </c>
    </row>
    <row r="27" spans="4:22" x14ac:dyDescent="0.25">
      <c r="D27" t="s">
        <v>22</v>
      </c>
      <c r="E27">
        <v>0.36842000000000003</v>
      </c>
      <c r="G27" t="s">
        <v>13</v>
      </c>
      <c r="H27">
        <f xml:space="preserve"> (D24/2) * (R6 + 2 * SUM(R7:R22) + R23)</f>
        <v>0.11994462786295207</v>
      </c>
    </row>
    <row r="28" spans="4:22" x14ac:dyDescent="0.25">
      <c r="D28" t="s">
        <v>3</v>
      </c>
      <c r="E28">
        <v>6</v>
      </c>
      <c r="G28" t="s">
        <v>23</v>
      </c>
      <c r="H28">
        <f xml:space="preserve"> (D24/2) * (S6 + 2 * SUM(S7:S22) + S23)</f>
        <v>5.5015430062294896E-2</v>
      </c>
    </row>
    <row r="29" spans="4:22" x14ac:dyDescent="0.25">
      <c r="G29" t="s">
        <v>24</v>
      </c>
      <c r="H29">
        <f xml:space="preserve"> H27*E27</f>
        <v>4.4189999797268807E-2</v>
      </c>
    </row>
    <row r="30" spans="4:22" x14ac:dyDescent="0.25">
      <c r="G30" t="s">
        <v>25</v>
      </c>
      <c r="H30">
        <f xml:space="preserve"> H28/H27</f>
        <v>0.4586735649816277</v>
      </c>
    </row>
    <row r="31" spans="4:22" x14ac:dyDescent="0.25">
      <c r="G31" t="s">
        <v>4</v>
      </c>
      <c r="H31">
        <f xml:space="preserve"> H29/H28</f>
        <v>0.80322919855814501</v>
      </c>
    </row>
    <row r="33" spans="20:43" x14ac:dyDescent="0.25">
      <c r="T33" t="s">
        <v>22</v>
      </c>
      <c r="U33" t="s">
        <v>27</v>
      </c>
      <c r="V33" t="s">
        <v>14</v>
      </c>
      <c r="W33" t="s">
        <v>15</v>
      </c>
      <c r="X33" t="s">
        <v>28</v>
      </c>
      <c r="Y33" t="s">
        <v>4</v>
      </c>
    </row>
    <row r="34" spans="20:43" x14ac:dyDescent="0.25">
      <c r="T34">
        <v>0</v>
      </c>
      <c r="U34">
        <v>0.22123608073812304</v>
      </c>
      <c r="V34">
        <v>5.1938967635427463E-2</v>
      </c>
      <c r="W34">
        <v>0</v>
      </c>
      <c r="X34">
        <v>0.23476716574502862</v>
      </c>
      <c r="Y34">
        <v>0</v>
      </c>
    </row>
    <row r="35" spans="20:43" x14ac:dyDescent="0.25">
      <c r="T35">
        <v>2.5000000000000001E-2</v>
      </c>
      <c r="U35">
        <v>0.21630059708122767</v>
      </c>
      <c r="V35">
        <v>5.3178345374593788E-2</v>
      </c>
      <c r="W35">
        <v>5.4075149270306922E-3</v>
      </c>
      <c r="X35">
        <v>0.24585390004551697</v>
      </c>
      <c r="Y35">
        <v>0.10168640804710255</v>
      </c>
    </row>
    <row r="36" spans="20:43" x14ac:dyDescent="0.25">
      <c r="T36">
        <v>0.05</v>
      </c>
      <c r="U36">
        <v>0.21102143321385666</v>
      </c>
      <c r="V36">
        <v>5.4366972915120597E-2</v>
      </c>
      <c r="W36">
        <v>1.0551071660692834E-2</v>
      </c>
      <c r="X36">
        <v>0.25763720815990837</v>
      </c>
      <c r="Y36">
        <v>0.19407134690330274</v>
      </c>
      <c r="AQ36" t="s">
        <v>26</v>
      </c>
    </row>
    <row r="37" spans="20:43" x14ac:dyDescent="0.25">
      <c r="T37">
        <v>7.4999999999999997E-2</v>
      </c>
      <c r="U37">
        <v>0.20553296227390441</v>
      </c>
      <c r="V37">
        <v>5.5495081485141755E-2</v>
      </c>
      <c r="W37">
        <v>1.5414972170542834E-2</v>
      </c>
      <c r="X37">
        <v>0.27000574930256682</v>
      </c>
      <c r="Y37">
        <v>0.27777186298338957</v>
      </c>
    </row>
    <row r="38" spans="20:43" x14ac:dyDescent="0.25">
      <c r="T38">
        <v>0.1</v>
      </c>
      <c r="U38">
        <v>0.19964367199322722</v>
      </c>
      <c r="V38">
        <v>5.6521174338831186E-2</v>
      </c>
      <c r="W38">
        <v>1.9964367199322722E-2</v>
      </c>
      <c r="X38">
        <v>0.28311027228926461</v>
      </c>
      <c r="Y38">
        <v>0.35321925690434214</v>
      </c>
    </row>
    <row r="39" spans="20:43" x14ac:dyDescent="0.25">
      <c r="T39">
        <v>0.125</v>
      </c>
      <c r="U39">
        <v>0.19353679709793489</v>
      </c>
      <c r="V39">
        <v>5.7438991523802538E-2</v>
      </c>
      <c r="W39">
        <v>2.4192099637241862E-2</v>
      </c>
      <c r="X39">
        <v>0.29678589490523005</v>
      </c>
      <c r="Y39">
        <v>0.42117904572222042</v>
      </c>
    </row>
    <row r="40" spans="20:43" x14ac:dyDescent="0.25">
      <c r="T40">
        <v>0.15</v>
      </c>
      <c r="U40">
        <v>0.18704121064998855</v>
      </c>
      <c r="V40">
        <v>5.8195962027012188E-2</v>
      </c>
      <c r="W40">
        <v>2.8056181597498286E-2</v>
      </c>
      <c r="X40">
        <v>0.31113978478205362</v>
      </c>
      <c r="Y40">
        <v>0.482098424362772</v>
      </c>
    </row>
    <row r="41" spans="20:43" x14ac:dyDescent="0.25">
      <c r="T41">
        <v>0.17499999999999999</v>
      </c>
      <c r="U41">
        <v>0.18027130069006383</v>
      </c>
      <c r="V41">
        <v>5.8779740652920548E-2</v>
      </c>
      <c r="W41">
        <v>3.1547477620761176E-2</v>
      </c>
      <c r="X41">
        <v>0.32606266459451111</v>
      </c>
      <c r="Y41">
        <v>0.53670664875915375</v>
      </c>
    </row>
    <row r="42" spans="20:43" x14ac:dyDescent="0.25">
      <c r="T42">
        <v>0.2</v>
      </c>
      <c r="U42">
        <v>0.17317907757974346</v>
      </c>
      <c r="V42">
        <v>5.9156307776463288E-2</v>
      </c>
      <c r="W42">
        <v>3.4635815515948694E-2</v>
      </c>
      <c r="X42">
        <v>0.34159038495411598</v>
      </c>
      <c r="Y42">
        <v>0.58549657370146679</v>
      </c>
    </row>
    <row r="43" spans="20:43" x14ac:dyDescent="0.25">
      <c r="T43">
        <v>0.22500000000000001</v>
      </c>
      <c r="U43">
        <v>0.16583465197015934</v>
      </c>
      <c r="V43">
        <v>5.9304514328127902E-2</v>
      </c>
      <c r="W43">
        <v>3.7312796693285855E-2</v>
      </c>
      <c r="X43">
        <v>0.35761231819510975</v>
      </c>
      <c r="Y43">
        <v>0.62917295784325378</v>
      </c>
    </row>
    <row r="44" spans="20:43" x14ac:dyDescent="0.25">
      <c r="T44">
        <v>0.25</v>
      </c>
      <c r="U44">
        <v>0.1581960251840844</v>
      </c>
      <c r="V44">
        <v>5.9188579981309136E-2</v>
      </c>
      <c r="W44">
        <v>3.9549006296021101E-2</v>
      </c>
      <c r="X44">
        <v>0.3741470742544542</v>
      </c>
      <c r="Y44">
        <v>0.66818643577038139</v>
      </c>
    </row>
    <row r="45" spans="20:43" x14ac:dyDescent="0.25">
      <c r="T45">
        <v>0.27500000000000002</v>
      </c>
      <c r="U45">
        <v>0.15026981043732301</v>
      </c>
      <c r="V45">
        <v>5.8783100205158971E-2</v>
      </c>
      <c r="W45">
        <v>4.1324197870263833E-2</v>
      </c>
      <c r="X45">
        <v>0.39118369840279521</v>
      </c>
      <c r="Y45">
        <v>0.70299452948276286</v>
      </c>
    </row>
    <row r="46" spans="20:43" x14ac:dyDescent="0.25">
      <c r="T46">
        <v>0.3</v>
      </c>
      <c r="U46">
        <v>0.14207057814696994</v>
      </c>
      <c r="V46">
        <v>5.8062034913336467E-2</v>
      </c>
      <c r="W46">
        <v>4.2621173444090991E-2</v>
      </c>
      <c r="X46">
        <v>0.40868444170947305</v>
      </c>
      <c r="Y46">
        <v>0.73406268842811762</v>
      </c>
    </row>
    <row r="47" spans="20:43" x14ac:dyDescent="0.25">
      <c r="T47">
        <v>0.32500000000000001</v>
      </c>
      <c r="U47">
        <v>0.13360754044709733</v>
      </c>
      <c r="V47">
        <v>5.7000848740219372E-2</v>
      </c>
      <c r="W47">
        <v>4.3422450645306636E-2</v>
      </c>
      <c r="X47">
        <v>0.42662898029164142</v>
      </c>
      <c r="Y47">
        <v>0.76178603661155808</v>
      </c>
    </row>
    <row r="48" spans="20:43" x14ac:dyDescent="0.25">
      <c r="T48">
        <v>0.35</v>
      </c>
      <c r="U48">
        <v>0.12489325398171666</v>
      </c>
      <c r="V48">
        <v>5.557834322079111E-2</v>
      </c>
      <c r="W48">
        <v>4.3712638893600837E-2</v>
      </c>
      <c r="X48">
        <v>0.44500676737053646</v>
      </c>
      <c r="Y48">
        <v>0.78650489310103311</v>
      </c>
    </row>
    <row r="49" spans="20:25" x14ac:dyDescent="0.25">
      <c r="T49">
        <v>0.375</v>
      </c>
      <c r="U49">
        <v>0.11592559049295763</v>
      </c>
      <c r="V49">
        <v>5.3770105172744602E-2</v>
      </c>
      <c r="W49">
        <v>4.3472096434859109E-2</v>
      </c>
      <c r="X49">
        <v>0.46383292027320822</v>
      </c>
      <c r="Y49">
        <v>0.8084807774728805</v>
      </c>
    </row>
    <row r="50" spans="20:25" x14ac:dyDescent="0.25">
      <c r="T50">
        <v>0.4</v>
      </c>
      <c r="U50">
        <v>0.10671977416930815</v>
      </c>
      <c r="V50">
        <v>5.1559071929228213E-2</v>
      </c>
      <c r="W50">
        <v>4.2687909667723262E-2</v>
      </c>
      <c r="X50">
        <v>0.48312575931271257</v>
      </c>
      <c r="Y50">
        <v>0.8279417776626814</v>
      </c>
    </row>
    <row r="51" spans="20:25" x14ac:dyDescent="0.25">
      <c r="T51">
        <v>0.42499999999999999</v>
      </c>
      <c r="U51">
        <v>9.7279407311843188E-2</v>
      </c>
      <c r="V51">
        <v>4.8926244722225391E-2</v>
      </c>
      <c r="W51">
        <v>4.1343748107533357E-2</v>
      </c>
      <c r="X51">
        <v>0.50294554699932792</v>
      </c>
      <c r="Y51">
        <v>0.84502189657634641</v>
      </c>
    </row>
    <row r="52" spans="20:25" x14ac:dyDescent="0.25">
      <c r="T52">
        <v>0.45</v>
      </c>
      <c r="U52">
        <v>8.7595540484562001E-2</v>
      </c>
      <c r="V52">
        <v>4.5848958643484011E-2</v>
      </c>
      <c r="W52">
        <v>3.9417993218052901E-2</v>
      </c>
      <c r="X52">
        <v>0.52341658479251596</v>
      </c>
      <c r="Y52">
        <v>0.8597358453561067</v>
      </c>
    </row>
    <row r="53" spans="20:25" x14ac:dyDescent="0.25">
      <c r="T53">
        <v>0.47499999999999998</v>
      </c>
      <c r="U53">
        <v>7.7696418315404123E-2</v>
      </c>
      <c r="V53">
        <v>4.232019042835073E-2</v>
      </c>
      <c r="W53">
        <v>3.6905798699816958E-2</v>
      </c>
      <c r="X53">
        <v>0.54468650352136394</v>
      </c>
      <c r="Y53">
        <v>0.87206126263300987</v>
      </c>
    </row>
    <row r="54" spans="20:25" x14ac:dyDescent="0.25">
      <c r="T54">
        <v>0.5</v>
      </c>
      <c r="U54">
        <v>6.7563024080203316E-2</v>
      </c>
      <c r="V54">
        <v>3.8315125842389497E-2</v>
      </c>
      <c r="W54">
        <v>3.3781512040101658E-2</v>
      </c>
      <c r="X54">
        <v>0.56710199645454051</v>
      </c>
      <c r="Y54">
        <v>0.88167561236945935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75DA-7CBA-4D28-852B-5062DFA4E04C}">
  <sheetPr codeName="Hoja2"/>
  <dimension ref="C6:S31"/>
  <sheetViews>
    <sheetView tabSelected="1" zoomScale="80" zoomScaleNormal="80" workbookViewId="0">
      <selection activeCell="U29" sqref="U29"/>
    </sheetView>
  </sheetViews>
  <sheetFormatPr baseColWidth="10" defaultRowHeight="15" x14ac:dyDescent="0.25"/>
  <cols>
    <col min="6" max="6" width="14.85546875" customWidth="1"/>
    <col min="18" max="18" width="14.140625" customWidth="1"/>
    <col min="19" max="19" width="14.85546875" customWidth="1"/>
  </cols>
  <sheetData>
    <row r="6" spans="3:19" x14ac:dyDescent="0.25">
      <c r="C6" t="s">
        <v>10</v>
      </c>
      <c r="D6" t="s">
        <v>11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L6" t="s">
        <v>29</v>
      </c>
      <c r="M6" t="s">
        <v>30</v>
      </c>
      <c r="N6" t="s">
        <v>31</v>
      </c>
      <c r="P6" t="s">
        <v>0</v>
      </c>
      <c r="Q6" t="s">
        <v>1</v>
      </c>
      <c r="R6" t="s">
        <v>32</v>
      </c>
      <c r="S6" t="s">
        <v>33</v>
      </c>
    </row>
    <row r="7" spans="3:19" x14ac:dyDescent="0.25">
      <c r="C7">
        <v>0.15</v>
      </c>
      <c r="D7">
        <f xml:space="preserve"> ( 8* PI() * C7 * N7 * COS(G7 * PI()/180) * ($D$27 + N7 * COS(G7 * PI()/180)) ) / ($D$28 * M7^2 * (P7 * COS(J7 * PI()/180) - Q7 * SIN(J7 * PI()/180) ) )</f>
        <v>0.12918343808652444</v>
      </c>
      <c r="F7">
        <f xml:space="preserve"> G7 + H7 + I7</f>
        <v>86.627426610142891</v>
      </c>
      <c r="G7">
        <f xml:space="preserve"> ATAN( $D$27 / C7 ) * 180/PI()</f>
        <v>67.846598089173952</v>
      </c>
      <c r="H7">
        <f xml:space="preserve"> ATAN( N7 / L7 ) *  180/PI()</f>
        <v>8.2808285209689405</v>
      </c>
      <c r="I7">
        <v>10.5</v>
      </c>
      <c r="J7">
        <f xml:space="preserve"> G7 + H7</f>
        <v>76.127426610142891</v>
      </c>
      <c r="L7">
        <f xml:space="preserve"> ( $D$27^2 + C7^2)^0.5</f>
        <v>0.39778549043422889</v>
      </c>
      <c r="M7">
        <f xml:space="preserve"> (L7^2 + N7^2)^0.5</f>
        <v>0.40197648275501141</v>
      </c>
      <c r="N7">
        <v>5.78947E-2</v>
      </c>
      <c r="P7">
        <f xml:space="preserve"> 6.28 * ( I7 * PI()/180)</f>
        <v>1.150870108765061</v>
      </c>
      <c r="Q7">
        <f xml:space="preserve"> 0.01 + 0.3 * (I7 * PI()/180)^2</f>
        <v>2.0075221159445385E-2</v>
      </c>
      <c r="R7">
        <f xml:space="preserve"> 0.5 * $D$28 * M7^2 * D7 * (P7 * COS(J7 * PI()/180) - Q7 * SIN(J7 * PI()/180))</f>
        <v>1.6059303148554332E-2</v>
      </c>
      <c r="S7">
        <f xml:space="preserve"> 0.5 * $D$28 * M7^2 * D7 * C7 * (P7 * SIN(J7 * PI()/180) + Q7 * COS(J7 * PI()/180))</f>
        <v>1.0540413862908849E-2</v>
      </c>
    </row>
    <row r="8" spans="3:19" x14ac:dyDescent="0.25">
      <c r="C8">
        <v>0.2</v>
      </c>
      <c r="D8">
        <f t="shared" ref="D8:D24" si="0" xml:space="preserve"> ( 8* PI() * C8 * N8 * COS(G8 * PI()/180) * ($D$27 + N8 * COS(G8 * PI()/180)) ) / ($D$28 * M8^2 * (P8 * COS(J8 * PI()/180) - Q8 * SIN(J8 * PI()/180) ) )</f>
        <v>0.13231598355989987</v>
      </c>
      <c r="F8">
        <f t="shared" ref="F8:F24" si="1" xml:space="preserve"> G8 + H8 + I8</f>
        <v>79.867429726236296</v>
      </c>
      <c r="G8">
        <f t="shared" ref="G8:G24" si="2" xml:space="preserve"> ATAN( $D$27 / C8 ) * 180/PI()</f>
        <v>61.504292742271211</v>
      </c>
      <c r="H8">
        <f t="shared" ref="H8:H24" si="3" xml:space="preserve"> ATAN( N8 / L8 ) *  180/PI()</f>
        <v>7.8631369839650862</v>
      </c>
      <c r="I8">
        <v>10.5</v>
      </c>
      <c r="J8">
        <f t="shared" ref="J8:J24" si="4" xml:space="preserve"> G8 + H8</f>
        <v>69.367429726236296</v>
      </c>
      <c r="L8">
        <f t="shared" ref="L8:L24" si="5" xml:space="preserve"> ( $D$27^2 + C8^2)^0.5</f>
        <v>0.4192055538754228</v>
      </c>
      <c r="M8">
        <f t="shared" ref="M8:M24" si="6" xml:space="preserve"> (L8^2 + N8^2)^0.5</f>
        <v>0.42318446650141828</v>
      </c>
      <c r="N8">
        <v>5.78947E-2</v>
      </c>
      <c r="P8">
        <f t="shared" ref="P8:P24" si="7" xml:space="preserve"> 6.28 * ( I8 * PI()/180)</f>
        <v>1.150870108765061</v>
      </c>
      <c r="Q8">
        <f t="shared" ref="Q8:Q24" si="8" xml:space="preserve"> 0.01 + 0.3 * (I8 * PI()/180)^2</f>
        <v>2.0075221159445385E-2</v>
      </c>
      <c r="R8">
        <f t="shared" ref="R8:R24" si="9" xml:space="preserve"> 0.5 * $D$28 * M8^2 * D8 * (P8 * COS(J8 * PI()/180) - Q8 * SIN(J8 * PI()/180))</f>
        <v>2.7492988452294444E-2</v>
      </c>
      <c r="S8">
        <f t="shared" ref="S8:S24" si="10" xml:space="preserve"> 0.5 * $D$28 * M8^2 * D8 * C8 * (P8 * SIN(J8 * PI()/180) + Q8 * COS(J8 * PI()/180))</f>
        <v>1.5413560855653386E-2</v>
      </c>
    </row>
    <row r="9" spans="3:19" x14ac:dyDescent="0.25">
      <c r="C9">
        <v>0.25</v>
      </c>
      <c r="D9">
        <f t="shared" si="0"/>
        <v>0.13538569681637871</v>
      </c>
      <c r="F9">
        <f t="shared" si="1"/>
        <v>73.748948962375522</v>
      </c>
      <c r="G9">
        <f t="shared" si="2"/>
        <v>55.840229393408968</v>
      </c>
      <c r="H9">
        <f t="shared" si="3"/>
        <v>7.4087195689665633</v>
      </c>
      <c r="I9">
        <v>10.5</v>
      </c>
      <c r="J9">
        <f t="shared" si="4"/>
        <v>63.248948962375529</v>
      </c>
      <c r="L9">
        <f t="shared" si="5"/>
        <v>0.44523397938612008</v>
      </c>
      <c r="M9">
        <f t="shared" si="6"/>
        <v>0.44898228549475089</v>
      </c>
      <c r="N9">
        <v>5.78947E-2</v>
      </c>
      <c r="P9">
        <f t="shared" si="7"/>
        <v>1.150870108765061</v>
      </c>
      <c r="Q9">
        <f t="shared" si="8"/>
        <v>2.0075221159445385E-2</v>
      </c>
      <c r="R9">
        <f t="shared" si="9"/>
        <v>4.094555825845498E-2</v>
      </c>
      <c r="S9">
        <f t="shared" si="10"/>
        <v>2.1220611087768571E-2</v>
      </c>
    </row>
    <row r="10" spans="3:19" x14ac:dyDescent="0.25">
      <c r="C10">
        <v>0.3</v>
      </c>
      <c r="D10">
        <f t="shared" si="0"/>
        <v>0.13616058239622306</v>
      </c>
      <c r="F10">
        <f t="shared" si="1"/>
        <v>68.291973592017968</v>
      </c>
      <c r="G10">
        <f t="shared" si="2"/>
        <v>50.844485723624629</v>
      </c>
      <c r="H10">
        <f t="shared" si="3"/>
        <v>6.9474878683933285</v>
      </c>
      <c r="I10">
        <v>10.5</v>
      </c>
      <c r="J10">
        <f t="shared" si="4"/>
        <v>57.79197359201796</v>
      </c>
      <c r="L10">
        <f t="shared" si="5"/>
        <v>0.47511398253471765</v>
      </c>
      <c r="M10">
        <f t="shared" si="6"/>
        <v>0.47862834505291257</v>
      </c>
      <c r="N10">
        <v>5.78947E-2</v>
      </c>
      <c r="P10">
        <f t="shared" si="7"/>
        <v>1.150870108765061</v>
      </c>
      <c r="Q10">
        <f t="shared" si="8"/>
        <v>2.0075221159445385E-2</v>
      </c>
      <c r="R10">
        <f t="shared" si="9"/>
        <v>5.5811408043415327E-2</v>
      </c>
      <c r="S10">
        <f t="shared" si="10"/>
        <v>2.7637217932704433E-2</v>
      </c>
    </row>
    <row r="11" spans="3:19" x14ac:dyDescent="0.25">
      <c r="C11">
        <v>0.35</v>
      </c>
      <c r="D11">
        <f t="shared" si="0"/>
        <v>0.13476285587191217</v>
      </c>
      <c r="F11">
        <f t="shared" si="1"/>
        <v>63.468321496434257</v>
      </c>
      <c r="G11">
        <f t="shared" si="2"/>
        <v>46.468718970706796</v>
      </c>
      <c r="H11">
        <f t="shared" si="3"/>
        <v>6.4996025257274619</v>
      </c>
      <c r="I11">
        <v>10.5</v>
      </c>
      <c r="J11">
        <f t="shared" si="4"/>
        <v>52.968321496434257</v>
      </c>
      <c r="L11">
        <f t="shared" si="5"/>
        <v>0.50816660299551364</v>
      </c>
      <c r="M11">
        <f t="shared" si="6"/>
        <v>0.51145390084355602</v>
      </c>
      <c r="N11">
        <v>5.78947E-2</v>
      </c>
      <c r="P11">
        <f t="shared" si="7"/>
        <v>1.150870108765061</v>
      </c>
      <c r="Q11">
        <f t="shared" si="8"/>
        <v>2.0075221159445385E-2</v>
      </c>
      <c r="R11">
        <f t="shared" si="9"/>
        <v>7.1606542775434101E-2</v>
      </c>
      <c r="S11">
        <f t="shared" si="10"/>
        <v>3.4454369584686187E-2</v>
      </c>
    </row>
    <row r="12" spans="3:19" x14ac:dyDescent="0.25">
      <c r="C12">
        <v>0.4</v>
      </c>
      <c r="D12">
        <f t="shared" si="0"/>
        <v>0.13176414360360494</v>
      </c>
      <c r="F12">
        <f t="shared" si="1"/>
        <v>59.223472564071784</v>
      </c>
      <c r="G12">
        <f t="shared" si="2"/>
        <v>42.646621558677133</v>
      </c>
      <c r="H12">
        <f t="shared" si="3"/>
        <v>6.0768510053946523</v>
      </c>
      <c r="I12">
        <v>10.5</v>
      </c>
      <c r="J12">
        <f t="shared" si="4"/>
        <v>48.723472564071784</v>
      </c>
      <c r="L12">
        <f t="shared" si="5"/>
        <v>0.54381365962984052</v>
      </c>
      <c r="M12">
        <f t="shared" si="6"/>
        <v>0.54688672747479439</v>
      </c>
      <c r="N12">
        <v>5.78947E-2</v>
      </c>
      <c r="P12">
        <f t="shared" si="7"/>
        <v>1.150870108765061</v>
      </c>
      <c r="Q12">
        <f t="shared" si="8"/>
        <v>2.0075221159445385E-2</v>
      </c>
      <c r="R12">
        <f t="shared" si="9"/>
        <v>8.7976123649557522E-2</v>
      </c>
      <c r="S12">
        <f t="shared" si="10"/>
        <v>4.1528659908539309E-2</v>
      </c>
    </row>
    <row r="13" spans="3:19" x14ac:dyDescent="0.25">
      <c r="C13">
        <v>0.45</v>
      </c>
      <c r="D13">
        <f t="shared" si="0"/>
        <v>0.12773066165730468</v>
      </c>
      <c r="F13">
        <f t="shared" si="1"/>
        <v>55.492493744042761</v>
      </c>
      <c r="G13">
        <f t="shared" si="2"/>
        <v>39.307567875411053</v>
      </c>
      <c r="H13">
        <f t="shared" si="3"/>
        <v>5.6849258686317103</v>
      </c>
      <c r="I13">
        <v>10.5</v>
      </c>
      <c r="J13">
        <f t="shared" si="4"/>
        <v>44.992493744042761</v>
      </c>
      <c r="L13">
        <f t="shared" si="5"/>
        <v>0.58157828054355676</v>
      </c>
      <c r="M13">
        <f t="shared" si="6"/>
        <v>0.58445281476616229</v>
      </c>
      <c r="N13">
        <v>5.78947E-2</v>
      </c>
      <c r="P13">
        <f t="shared" si="7"/>
        <v>1.150870108765061</v>
      </c>
      <c r="Q13">
        <f t="shared" si="8"/>
        <v>2.0075221159445385E-2</v>
      </c>
      <c r="R13">
        <f t="shared" si="9"/>
        <v>0.10467502496426664</v>
      </c>
      <c r="S13">
        <f t="shared" si="10"/>
        <v>4.8763459380660353E-2</v>
      </c>
    </row>
    <row r="14" spans="3:19" x14ac:dyDescent="0.25">
      <c r="C14">
        <v>0.5</v>
      </c>
      <c r="D14">
        <f t="shared" si="0"/>
        <v>0.12310964263869774</v>
      </c>
      <c r="F14">
        <f t="shared" si="1"/>
        <v>52.209826083748737</v>
      </c>
      <c r="G14">
        <f t="shared" si="2"/>
        <v>36.384273638392067</v>
      </c>
      <c r="H14">
        <f t="shared" si="3"/>
        <v>5.3255524453566743</v>
      </c>
      <c r="I14">
        <v>10.5</v>
      </c>
      <c r="J14">
        <f t="shared" si="4"/>
        <v>41.709826083748737</v>
      </c>
      <c r="L14">
        <f t="shared" si="5"/>
        <v>0.62107430827558785</v>
      </c>
      <c r="M14">
        <f t="shared" si="6"/>
        <v>0.62376685763840478</v>
      </c>
      <c r="N14">
        <v>5.78947E-2</v>
      </c>
      <c r="P14">
        <f t="shared" si="7"/>
        <v>1.150870108765061</v>
      </c>
      <c r="Q14">
        <f t="shared" si="8"/>
        <v>2.0075221159445385E-2</v>
      </c>
      <c r="R14">
        <f t="shared" si="9"/>
        <v>0.12154106865375483</v>
      </c>
      <c r="S14">
        <f t="shared" si="10"/>
        <v>5.6095435113363047E-2</v>
      </c>
    </row>
    <row r="15" spans="3:19" x14ac:dyDescent="0.25">
      <c r="C15">
        <v>0.55000000000000004</v>
      </c>
      <c r="D15">
        <f t="shared" si="0"/>
        <v>0.11822113231050267</v>
      </c>
      <c r="F15">
        <f t="shared" si="1"/>
        <v>49.314435718177641</v>
      </c>
      <c r="G15">
        <f t="shared" si="2"/>
        <v>33.816332928085238</v>
      </c>
      <c r="H15">
        <f t="shared" si="3"/>
        <v>4.9981027900924033</v>
      </c>
      <c r="I15">
        <v>10.5</v>
      </c>
      <c r="J15">
        <f t="shared" si="4"/>
        <v>38.814435718177641</v>
      </c>
      <c r="L15">
        <f t="shared" si="5"/>
        <v>0.66199191566060689</v>
      </c>
      <c r="M15">
        <f t="shared" si="6"/>
        <v>0.66451869250465034</v>
      </c>
      <c r="N15">
        <v>5.78947E-2</v>
      </c>
      <c r="P15">
        <f t="shared" si="7"/>
        <v>1.150870108765061</v>
      </c>
      <c r="Q15">
        <f t="shared" si="8"/>
        <v>2.0075221159445385E-2</v>
      </c>
      <c r="R15">
        <f t="shared" si="9"/>
        <v>0.1384706261676284</v>
      </c>
      <c r="S15">
        <f t="shared" si="10"/>
        <v>6.3484181707428589E-2</v>
      </c>
    </row>
    <row r="16" spans="3:19" x14ac:dyDescent="0.25">
      <c r="C16">
        <v>0.6</v>
      </c>
      <c r="D16">
        <f t="shared" si="0"/>
        <v>0.11328056325771768</v>
      </c>
      <c r="F16">
        <f t="shared" si="1"/>
        <v>46.752000253232609</v>
      </c>
      <c r="G16">
        <f t="shared" si="2"/>
        <v>31.551311951845289</v>
      </c>
      <c r="H16">
        <f t="shared" si="3"/>
        <v>4.7006883013873235</v>
      </c>
      <c r="I16">
        <v>10.5</v>
      </c>
      <c r="J16">
        <f t="shared" si="4"/>
        <v>36.252000253232609</v>
      </c>
      <c r="L16">
        <f t="shared" si="5"/>
        <v>0.70408330217382653</v>
      </c>
      <c r="M16">
        <f t="shared" si="6"/>
        <v>0.70645954780729658</v>
      </c>
      <c r="N16">
        <v>5.78947E-2</v>
      </c>
      <c r="P16">
        <f t="shared" si="7"/>
        <v>1.150870108765061</v>
      </c>
      <c r="Q16">
        <f t="shared" si="8"/>
        <v>2.0075221159445385E-2</v>
      </c>
      <c r="R16">
        <f t="shared" si="9"/>
        <v>0.15539966180954404</v>
      </c>
      <c r="S16">
        <f t="shared" si="10"/>
        <v>7.0904627655699284E-2</v>
      </c>
    </row>
    <row r="17" spans="3:19" x14ac:dyDescent="0.25">
      <c r="C17">
        <v>0.65</v>
      </c>
      <c r="D17">
        <f t="shared" si="0"/>
        <v>0.10842584535237203</v>
      </c>
      <c r="F17">
        <f t="shared" si="1"/>
        <v>44.475410093883241</v>
      </c>
      <c r="G17">
        <f t="shared" si="2"/>
        <v>29.544564513826337</v>
      </c>
      <c r="H17">
        <f t="shared" si="3"/>
        <v>4.4308455800569018</v>
      </c>
      <c r="I17">
        <v>10.5</v>
      </c>
      <c r="J17">
        <f t="shared" si="4"/>
        <v>33.975410093883241</v>
      </c>
      <c r="L17">
        <f t="shared" si="5"/>
        <v>0.7471501163755514</v>
      </c>
      <c r="M17">
        <f t="shared" si="6"/>
        <v>0.74938981357374346</v>
      </c>
      <c r="N17">
        <v>5.78947E-2</v>
      </c>
      <c r="P17">
        <f t="shared" si="7"/>
        <v>1.150870108765061</v>
      </c>
      <c r="Q17">
        <f t="shared" si="8"/>
        <v>2.0075221159445385E-2</v>
      </c>
      <c r="R17">
        <f t="shared" si="9"/>
        <v>0.17229016762208019</v>
      </c>
      <c r="S17">
        <f t="shared" si="10"/>
        <v>7.8341736615089141E-2</v>
      </c>
    </row>
    <row r="18" spans="3:19" x14ac:dyDescent="0.25">
      <c r="C18">
        <v>0.7</v>
      </c>
      <c r="D18">
        <f t="shared" si="0"/>
        <v>0.10374054602203581</v>
      </c>
      <c r="F18">
        <f t="shared" si="1"/>
        <v>42.444414644719558</v>
      </c>
      <c r="G18">
        <f t="shared" si="2"/>
        <v>27.75847313155365</v>
      </c>
      <c r="H18">
        <f t="shared" si="3"/>
        <v>4.1859415131659068</v>
      </c>
      <c r="I18">
        <v>10.5</v>
      </c>
      <c r="J18">
        <f t="shared" si="4"/>
        <v>31.944414644719558</v>
      </c>
      <c r="L18">
        <f t="shared" si="5"/>
        <v>0.79103305645213084</v>
      </c>
      <c r="M18">
        <f t="shared" si="6"/>
        <v>0.79314884648979345</v>
      </c>
      <c r="N18">
        <v>5.78947E-2</v>
      </c>
      <c r="P18">
        <f t="shared" si="7"/>
        <v>1.150870108765061</v>
      </c>
      <c r="Q18">
        <f t="shared" si="8"/>
        <v>2.0075221159445385E-2</v>
      </c>
      <c r="R18">
        <f t="shared" si="9"/>
        <v>0.18912090046367983</v>
      </c>
      <c r="S18">
        <f t="shared" si="10"/>
        <v>8.5786932264916863E-2</v>
      </c>
    </row>
    <row r="19" spans="3:19" x14ac:dyDescent="0.25">
      <c r="C19">
        <v>0.75</v>
      </c>
      <c r="D19">
        <f t="shared" si="0"/>
        <v>9.9271459347342661E-2</v>
      </c>
      <c r="F19">
        <f t="shared" si="1"/>
        <v>40.624899565134655</v>
      </c>
      <c r="G19">
        <f t="shared" si="2"/>
        <v>26.161501659252149</v>
      </c>
      <c r="H19">
        <f t="shared" si="3"/>
        <v>3.9633979058825006</v>
      </c>
      <c r="I19">
        <v>10.5</v>
      </c>
      <c r="J19">
        <f t="shared" si="4"/>
        <v>30.124899565134651</v>
      </c>
      <c r="L19">
        <f t="shared" si="5"/>
        <v>0.8356035521705254</v>
      </c>
      <c r="M19">
        <f t="shared" si="6"/>
        <v>0.83760676494885711</v>
      </c>
      <c r="N19">
        <v>5.78947E-2</v>
      </c>
      <c r="P19">
        <f t="shared" si="7"/>
        <v>1.150870108765061</v>
      </c>
      <c r="Q19">
        <f t="shared" si="8"/>
        <v>2.0075221159445385E-2</v>
      </c>
      <c r="R19">
        <f t="shared" si="9"/>
        <v>0.20588123070233819</v>
      </c>
      <c r="S19">
        <f t="shared" si="10"/>
        <v>9.3235737836472668E-2</v>
      </c>
    </row>
    <row r="20" spans="3:19" x14ac:dyDescent="0.25">
      <c r="C20">
        <v>0.8</v>
      </c>
      <c r="D20">
        <f t="shared" si="0"/>
        <v>9.504115045905942E-2</v>
      </c>
      <c r="F20">
        <f t="shared" si="1"/>
        <v>38.988057838001424</v>
      </c>
      <c r="G20">
        <f t="shared" si="2"/>
        <v>24.727252188698142</v>
      </c>
      <c r="H20">
        <f t="shared" si="3"/>
        <v>3.7608056493032831</v>
      </c>
      <c r="I20">
        <v>10.5</v>
      </c>
      <c r="J20">
        <f t="shared" si="4"/>
        <v>28.488057838001424</v>
      </c>
      <c r="L20">
        <f t="shared" si="5"/>
        <v>0.88075722897970021</v>
      </c>
      <c r="M20">
        <f t="shared" si="6"/>
        <v>0.88265797038722205</v>
      </c>
      <c r="N20">
        <v>5.78947E-2</v>
      </c>
      <c r="P20">
        <f t="shared" si="7"/>
        <v>1.150870108765061</v>
      </c>
      <c r="Q20">
        <f t="shared" si="8"/>
        <v>2.0075221159445385E-2</v>
      </c>
      <c r="R20">
        <f t="shared" si="9"/>
        <v>0.22256712692669819</v>
      </c>
      <c r="S20">
        <f t="shared" si="10"/>
        <v>0.10068623892335174</v>
      </c>
    </row>
    <row r="21" spans="3:19" x14ac:dyDescent="0.25">
      <c r="C21">
        <v>0.85</v>
      </c>
      <c r="D21">
        <f t="shared" si="0"/>
        <v>9.1056613598963346E-2</v>
      </c>
      <c r="F21">
        <f t="shared" si="1"/>
        <v>37.509584899850637</v>
      </c>
      <c r="G21">
        <f t="shared" si="2"/>
        <v>23.433610989075067</v>
      </c>
      <c r="H21">
        <f t="shared" si="3"/>
        <v>3.575973910775565</v>
      </c>
      <c r="I21">
        <v>10.5</v>
      </c>
      <c r="J21">
        <f t="shared" si="4"/>
        <v>27.009584899850633</v>
      </c>
      <c r="L21">
        <f t="shared" si="5"/>
        <v>0.92640881709966461</v>
      </c>
      <c r="M21">
        <f t="shared" si="6"/>
        <v>0.92821608081744078</v>
      </c>
      <c r="N21">
        <v>5.78947E-2</v>
      </c>
      <c r="P21">
        <f t="shared" si="7"/>
        <v>1.150870108765061</v>
      </c>
      <c r="Q21">
        <f t="shared" si="8"/>
        <v>2.0075221159445385E-2</v>
      </c>
      <c r="R21">
        <f t="shared" si="9"/>
        <v>0.23917856451732122</v>
      </c>
      <c r="S21">
        <f t="shared" si="10"/>
        <v>0.10813809147044164</v>
      </c>
    </row>
    <row r="22" spans="3:19" x14ac:dyDescent="0.25">
      <c r="C22">
        <v>0.9</v>
      </c>
      <c r="D22">
        <f t="shared" si="0"/>
        <v>8.7315121382035857E-2</v>
      </c>
      <c r="F22">
        <f t="shared" si="1"/>
        <v>36.168954392911132</v>
      </c>
      <c r="G22">
        <f t="shared" si="2"/>
        <v>22.262011749308154</v>
      </c>
      <c r="H22">
        <f t="shared" si="3"/>
        <v>3.406942643602977</v>
      </c>
      <c r="I22">
        <v>10.5</v>
      </c>
      <c r="J22">
        <f t="shared" si="4"/>
        <v>25.668954392911132</v>
      </c>
      <c r="L22">
        <f t="shared" si="5"/>
        <v>0.97248819859163327</v>
      </c>
      <c r="M22">
        <f t="shared" si="6"/>
        <v>0.9742099838782653</v>
      </c>
      <c r="N22">
        <v>5.78947E-2</v>
      </c>
      <c r="P22">
        <f t="shared" si="7"/>
        <v>1.150870108765061</v>
      </c>
      <c r="Q22">
        <f t="shared" si="8"/>
        <v>2.0075221159445385E-2</v>
      </c>
      <c r="R22">
        <f t="shared" si="9"/>
        <v>0.2557178675791496</v>
      </c>
      <c r="S22">
        <f t="shared" si="10"/>
        <v>0.11559188595356767</v>
      </c>
    </row>
    <row r="23" spans="3:19" x14ac:dyDescent="0.25">
      <c r="C23">
        <v>0.95</v>
      </c>
      <c r="D23">
        <f t="shared" si="0"/>
        <v>8.3808116602375679E-2</v>
      </c>
      <c r="F23">
        <f t="shared" si="1"/>
        <v>34.948792434022778</v>
      </c>
      <c r="G23">
        <f t="shared" si="2"/>
        <v>21.196816951500061</v>
      </c>
      <c r="H23">
        <f t="shared" si="3"/>
        <v>3.2519754825227118</v>
      </c>
      <c r="I23">
        <v>10.5</v>
      </c>
      <c r="J23">
        <f t="shared" si="4"/>
        <v>24.448792434022774</v>
      </c>
      <c r="L23">
        <f t="shared" si="5"/>
        <v>1.0189373368367656</v>
      </c>
      <c r="M23">
        <f t="shared" si="6"/>
        <v>1.0205807624524823</v>
      </c>
      <c r="N23">
        <v>5.78947E-2</v>
      </c>
      <c r="P23">
        <f t="shared" si="7"/>
        <v>1.150870108765061</v>
      </c>
      <c r="Q23">
        <f t="shared" si="8"/>
        <v>2.0075221159445385E-2</v>
      </c>
      <c r="R23">
        <f t="shared" si="9"/>
        <v>0.27218865689827365</v>
      </c>
      <c r="S23">
        <f t="shared" si="10"/>
        <v>0.12304874253803302</v>
      </c>
    </row>
    <row r="24" spans="3:19" x14ac:dyDescent="0.25">
      <c r="C24">
        <v>1</v>
      </c>
      <c r="D24">
        <f t="shared" si="0"/>
        <v>8.052376835351073E-2</v>
      </c>
      <c r="F24">
        <f t="shared" si="1"/>
        <v>33.834349379290728</v>
      </c>
      <c r="G24">
        <f t="shared" si="2"/>
        <v>20.224806327744545</v>
      </c>
      <c r="H24">
        <f t="shared" si="3"/>
        <v>3.1095430515461864</v>
      </c>
      <c r="I24">
        <v>10.5</v>
      </c>
      <c r="J24">
        <f t="shared" si="4"/>
        <v>23.334349379290732</v>
      </c>
      <c r="L24">
        <f t="shared" si="5"/>
        <v>1.0657078851167425</v>
      </c>
      <c r="M24">
        <f t="shared" si="6"/>
        <v>1.0672792946029124</v>
      </c>
      <c r="N24">
        <v>5.78947E-2</v>
      </c>
      <c r="P24">
        <f t="shared" si="7"/>
        <v>1.150870108765061</v>
      </c>
      <c r="Q24">
        <f t="shared" si="8"/>
        <v>2.0075221159445385E-2</v>
      </c>
      <c r="R24">
        <f t="shared" si="9"/>
        <v>0.28859518922879235</v>
      </c>
      <c r="S24">
        <f t="shared" si="10"/>
        <v>0.13051005541677363</v>
      </c>
    </row>
    <row r="25" spans="3:19" x14ac:dyDescent="0.25">
      <c r="C25">
        <f xml:space="preserve"> (C24-C7)/17</f>
        <v>4.9999999999999996E-2</v>
      </c>
    </row>
    <row r="27" spans="3:19" x14ac:dyDescent="0.25">
      <c r="C27" t="s">
        <v>12</v>
      </c>
      <c r="D27">
        <v>0.36842000000000003</v>
      </c>
      <c r="F27" t="s">
        <v>13</v>
      </c>
      <c r="G27">
        <f xml:space="preserve"> (C25/2) * (R7 + 2 * SUM(R8:R23) + R24)</f>
        <v>0.12565953818362818</v>
      </c>
    </row>
    <row r="28" spans="3:19" x14ac:dyDescent="0.25">
      <c r="C28" t="s">
        <v>3</v>
      </c>
      <c r="D28">
        <v>6</v>
      </c>
      <c r="F28" t="s">
        <v>14</v>
      </c>
      <c r="G28">
        <f xml:space="preserve"> (C25/2) * (S7 + 2 * SUM(S8:S23) + S24)</f>
        <v>5.7742836173410854E-2</v>
      </c>
    </row>
    <row r="29" spans="3:19" x14ac:dyDescent="0.25">
      <c r="F29" t="s">
        <v>15</v>
      </c>
      <c r="G29">
        <f>G27*D27</f>
        <v>4.62954870576123E-2</v>
      </c>
    </row>
    <row r="30" spans="3:19" x14ac:dyDescent="0.25">
      <c r="F30" t="s">
        <v>16</v>
      </c>
      <c r="G30">
        <f>G28/G27</f>
        <v>0.45951813135768788</v>
      </c>
    </row>
    <row r="31" spans="3:19" x14ac:dyDescent="0.25">
      <c r="F31" t="s">
        <v>4</v>
      </c>
      <c r="G31">
        <f>G29/G28</f>
        <v>0.80175291214618627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actuaciones</vt:lpstr>
      <vt:lpstr>diseño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Emilio Martín Pedrero</dc:creator>
  <cp:lastModifiedBy>Emilio Martín Pedrero</cp:lastModifiedBy>
  <dcterms:created xsi:type="dcterms:W3CDTF">2020-06-01T10:15:00Z</dcterms:created>
  <dcterms:modified xsi:type="dcterms:W3CDTF">2020-06-11T19:38:46Z</dcterms:modified>
</cp:coreProperties>
</file>